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_SI" sheetId="1" state="visible" r:id="rId1"/>
    <sheet name="Integraciones_Interfaces" sheetId="2" state="visible" r:id="rId2"/>
    <sheet name="Componentes" sheetId="3" state="visible" r:id="rId3"/>
    <sheet name="Diccionario" sheetId="4" state="visible" r:id="rId4"/>
    <sheet name="Listas" sheetId="5" state="visible" r:id="rId5"/>
    <sheet name="Tablero" sheetId="6" state="visible" r:id="rId6"/>
    <sheet name="Calidad" sheetId="7" state="visible" r:id="rId7"/>
  </sheets>
  <definedNames>
    <definedName name="_xlnm._FilterDatabase" localSheetId="0" hidden="1">'Catálogo_SI'!$A$1:$AR$1</definedName>
    <definedName name="_xlnm._FilterDatabase" localSheetId="1" hidden="1">'Integraciones_Interfaces'!$A$1:$O$1</definedName>
    <definedName name="_xlnm._FilterDatabase" localSheetId="2" hidden="1">'Componentes'!$A$1:$O$1</definedName>
    <definedName name="_xlnm._FilterDatabase" localSheetId="3" hidden="1">'Diccionario'!$A$1:$J$1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4A"/>
      <sz val="11"/>
    </font>
  </fonts>
  <fills count="4">
    <fill>
      <patternFill/>
    </fill>
    <fill>
      <patternFill patternType="gray125"/>
    </fill>
    <fill>
      <patternFill patternType="solid">
        <fgColor rgb="001F4E4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1" fillId="2" borderId="1" applyAlignment="1" pivotButton="0" quotePrefix="0" xfId="0">
      <alignment vertical="center" wrapText="1"/>
    </xf>
    <xf numFmtId="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</cols>
  <sheetData>
    <row r="1" ht="42" customHeight="1">
      <c r="A1" s="1" t="inlineStr">
        <is>
          <t>ID_SI</t>
        </is>
      </c>
      <c r="B1" s="1" t="inlineStr">
        <is>
          <t>Nombre_oficial</t>
        </is>
      </c>
      <c r="C1" s="1" t="inlineStr">
        <is>
          <t>Sigla_Acronimo</t>
        </is>
      </c>
      <c r="D1" s="1" t="inlineStr">
        <is>
          <t>Tipo_o_patron_de_SI</t>
        </is>
      </c>
      <c r="E1" s="1" t="inlineStr">
        <is>
          <t>Categoria_institucional</t>
        </is>
      </c>
      <c r="F1" s="1" t="inlineStr">
        <is>
          <t>Descripcion_breve</t>
        </is>
      </c>
      <c r="G1" s="1" t="inlineStr">
        <is>
          <t>Procesos_institucionales_soportados</t>
        </is>
      </c>
      <c r="H1" s="1" t="inlineStr">
        <is>
          <t>Dependencia_duena_del_proceso</t>
        </is>
      </c>
      <c r="I1" s="1" t="inlineStr">
        <is>
          <t>Area_responsable_funcional</t>
        </is>
      </c>
      <c r="J1" s="1" t="inlineStr">
        <is>
          <t>Responsable_funcional</t>
        </is>
      </c>
      <c r="K1" s="1" t="inlineStr">
        <is>
          <t>Area_responsable_tecnica</t>
        </is>
      </c>
      <c r="L1" s="1" t="inlineStr">
        <is>
          <t>Responsable_tecnico</t>
        </is>
      </c>
      <c r="M1" s="1" t="inlineStr">
        <is>
          <t>Estado_del_SI</t>
        </is>
      </c>
      <c r="N1" s="1" t="inlineStr">
        <is>
          <t>Fecha_salida_produccion</t>
        </is>
      </c>
      <c r="O1" s="1" t="inlineStr">
        <is>
          <t>Version_actual</t>
        </is>
      </c>
      <c r="P1" s="1" t="inlineStr">
        <is>
          <t>Modelo_de_despliegue</t>
        </is>
      </c>
      <c r="Q1" s="1" t="inlineStr">
        <is>
          <t>Tipo_de_desarrollo_adquisicion</t>
        </is>
      </c>
      <c r="R1" s="1" t="inlineStr">
        <is>
          <t>Fabricante_o_proveedor_principal</t>
        </is>
      </c>
      <c r="S1" s="1" t="inlineStr">
        <is>
          <t>Tipo_de_licenciamiento</t>
        </is>
      </c>
      <c r="T1" s="1" t="inlineStr">
        <is>
          <t>Soporte_vigente_hasta</t>
        </is>
      </c>
      <c r="U1" s="1" t="inlineStr">
        <is>
          <t>Estado_ANS_terceros</t>
        </is>
      </c>
      <c r="V1" s="1" t="inlineStr">
        <is>
          <t>Marco_legal_mandatorio</t>
        </is>
      </c>
      <c r="W1" s="1" t="inlineStr">
        <is>
          <t>Objetivos_estrategicos_que_apoya</t>
        </is>
      </c>
      <c r="X1" s="1" t="inlineStr">
        <is>
          <t>Criticidad_operacional</t>
        </is>
      </c>
      <c r="Y1" s="1" t="inlineStr">
        <is>
          <t>Usuarios_activos</t>
        </is>
      </c>
      <c r="Z1" s="1" t="inlineStr">
        <is>
          <t>Cobertura_del_proceso</t>
        </is>
      </c>
      <c r="AA1" s="1" t="inlineStr">
        <is>
          <t>Clasificacion_de_la_informacion</t>
        </is>
      </c>
      <c r="AB1" s="1" t="inlineStr">
        <is>
          <t>Manejo_de_datos_personales</t>
        </is>
      </c>
      <c r="AC1" s="1" t="inlineStr">
        <is>
          <t>Interopera_con_entidades_externas</t>
        </is>
      </c>
      <c r="AD1" s="1" t="inlineStr">
        <is>
          <t>Numero_integraciones_activas</t>
        </is>
      </c>
      <c r="AE1" s="1" t="inlineStr">
        <is>
          <t>Numero_componentes_registrados</t>
        </is>
      </c>
      <c r="AF1" s="1" t="inlineStr">
        <is>
          <t>Valoracion_de_seguridad</t>
        </is>
      </c>
      <c r="AG1" s="1" t="inlineStr">
        <is>
          <t>Nivel_de_riesgo_residual</t>
        </is>
      </c>
      <c r="AH1" s="1" t="inlineStr">
        <is>
          <t>Backup_definido</t>
        </is>
      </c>
      <c r="AI1" s="1" t="inlineStr">
        <is>
          <t>Plan_de_continuidad</t>
        </is>
      </c>
      <c r="AJ1" s="1" t="inlineStr">
        <is>
          <t>Estado_documentacion_minima</t>
        </is>
      </c>
      <c r="AK1" s="1" t="inlineStr">
        <is>
          <t>Clasificacion_TIME</t>
        </is>
      </c>
      <c r="AL1" s="1" t="inlineStr">
        <is>
          <t>Tipo_intervencion_recomendada</t>
        </is>
      </c>
      <c r="AM1" s="1" t="inlineStr">
        <is>
          <t>Prioridad_intervencion</t>
        </is>
      </c>
      <c r="AN1" s="1" t="inlineStr">
        <is>
          <t>TCO_anual_total_COP</t>
        </is>
      </c>
      <c r="AO1" s="1" t="inlineStr">
        <is>
          <t>Ratio_TCO_por_usuario_COP</t>
        </is>
      </c>
      <c r="AP1" s="1" t="inlineStr">
        <is>
          <t>Ultima_revision_anual</t>
        </is>
      </c>
      <c r="AQ1" s="1" t="inlineStr">
        <is>
          <t>Proxima_revision_programada</t>
        </is>
      </c>
      <c r="AR1" s="1" t="inlineStr">
        <is>
          <t>Vigencia_del_registro</t>
        </is>
      </c>
    </row>
    <row r="2">
      <c r="AD2" s="2">
        <f>IF($A2="","",COUNTIFS(Integraciones_Interfaces!$B:$B,$A2,Integraciones_Interfaces!$N:$N,"Activa"))</f>
        <v/>
      </c>
      <c r="AE2" s="2">
        <f>IF($A2="","",COUNTIF(Componentes!$B:$B,$A2))</f>
        <v/>
      </c>
      <c r="AO2" s="2">
        <f>IF(OR($A2="",$AN2="",$Y2="",$Y2=0),"",ROUND($AN2/$Y2,0))</f>
        <v/>
      </c>
    </row>
    <row r="3">
      <c r="AD3" s="2">
        <f>IF($A3="","",COUNTIFS(Integraciones_Interfaces!$B:$B,$A3,Integraciones_Interfaces!$N:$N,"Activa"))</f>
        <v/>
      </c>
      <c r="AE3" s="2">
        <f>IF($A3="","",COUNTIF(Componentes!$B:$B,$A3))</f>
        <v/>
      </c>
      <c r="AO3" s="2">
        <f>IF(OR($A3="",$AN3="",$Y3="",$Y3=0),"",ROUND($AN3/$Y3,0))</f>
        <v/>
      </c>
    </row>
    <row r="4">
      <c r="AD4" s="2">
        <f>IF($A4="","",COUNTIFS(Integraciones_Interfaces!$B:$B,$A4,Integraciones_Interfaces!$N:$N,"Activa"))</f>
        <v/>
      </c>
      <c r="AE4" s="2">
        <f>IF($A4="","",COUNTIF(Componentes!$B:$B,$A4))</f>
        <v/>
      </c>
      <c r="AO4" s="2">
        <f>IF(OR($A4="",$AN4="",$Y4="",$Y4=0),"",ROUND($AN4/$Y4,0))</f>
        <v/>
      </c>
    </row>
    <row r="5">
      <c r="AD5" s="2">
        <f>IF($A5="","",COUNTIFS(Integraciones_Interfaces!$B:$B,$A5,Integraciones_Interfaces!$N:$N,"Activa"))</f>
        <v/>
      </c>
      <c r="AE5" s="2">
        <f>IF($A5="","",COUNTIF(Componentes!$B:$B,$A5))</f>
        <v/>
      </c>
      <c r="AO5" s="2">
        <f>IF(OR($A5="",$AN5="",$Y5="",$Y5=0),"",ROUND($AN5/$Y5,0))</f>
        <v/>
      </c>
    </row>
    <row r="6">
      <c r="AD6" s="2">
        <f>IF($A6="","",COUNTIFS(Integraciones_Interfaces!$B:$B,$A6,Integraciones_Interfaces!$N:$N,"Activa"))</f>
        <v/>
      </c>
      <c r="AE6" s="2">
        <f>IF($A6="","",COUNTIF(Componentes!$B:$B,$A6))</f>
        <v/>
      </c>
      <c r="AO6" s="2">
        <f>IF(OR($A6="",$AN6="",$Y6="",$Y6=0),"",ROUND($AN6/$Y6,0))</f>
        <v/>
      </c>
    </row>
    <row r="7">
      <c r="AD7" s="2">
        <f>IF($A7="","",COUNTIFS(Integraciones_Interfaces!$B:$B,$A7,Integraciones_Interfaces!$N:$N,"Activa"))</f>
        <v/>
      </c>
      <c r="AE7" s="2">
        <f>IF($A7="","",COUNTIF(Componentes!$B:$B,$A7))</f>
        <v/>
      </c>
      <c r="AO7" s="2">
        <f>IF(OR($A7="",$AN7="",$Y7="",$Y7=0),"",ROUND($AN7/$Y7,0))</f>
        <v/>
      </c>
    </row>
    <row r="8">
      <c r="AD8" s="2">
        <f>IF($A8="","",COUNTIFS(Integraciones_Interfaces!$B:$B,$A8,Integraciones_Interfaces!$N:$N,"Activa"))</f>
        <v/>
      </c>
      <c r="AE8" s="2">
        <f>IF($A8="","",COUNTIF(Componentes!$B:$B,$A8))</f>
        <v/>
      </c>
      <c r="AO8" s="2">
        <f>IF(OR($A8="",$AN8="",$Y8="",$Y8=0),"",ROUND($AN8/$Y8,0))</f>
        <v/>
      </c>
    </row>
    <row r="9">
      <c r="AD9" s="2">
        <f>IF($A9="","",COUNTIFS(Integraciones_Interfaces!$B:$B,$A9,Integraciones_Interfaces!$N:$N,"Activa"))</f>
        <v/>
      </c>
      <c r="AE9" s="2">
        <f>IF($A9="","",COUNTIF(Componentes!$B:$B,$A9))</f>
        <v/>
      </c>
      <c r="AO9" s="2">
        <f>IF(OR($A9="",$AN9="",$Y9="",$Y9=0),"",ROUND($AN9/$Y9,0))</f>
        <v/>
      </c>
    </row>
    <row r="10">
      <c r="AD10" s="2">
        <f>IF($A10="","",COUNTIFS(Integraciones_Interfaces!$B:$B,$A10,Integraciones_Interfaces!$N:$N,"Activa"))</f>
        <v/>
      </c>
      <c r="AE10" s="2">
        <f>IF($A10="","",COUNTIF(Componentes!$B:$B,$A10))</f>
        <v/>
      </c>
      <c r="AO10" s="2">
        <f>IF(OR($A10="",$AN10="",$Y10="",$Y10=0),"",ROUND($AN10/$Y10,0))</f>
        <v/>
      </c>
    </row>
    <row r="11">
      <c r="AD11" s="2">
        <f>IF($A11="","",COUNTIFS(Integraciones_Interfaces!$B:$B,$A11,Integraciones_Interfaces!$N:$N,"Activa"))</f>
        <v/>
      </c>
      <c r="AE11" s="2">
        <f>IF($A11="","",COUNTIF(Componentes!$B:$B,$A11))</f>
        <v/>
      </c>
      <c r="AO11" s="2">
        <f>IF(OR($A11="",$AN11="",$Y11="",$Y11=0),"",ROUND($AN11/$Y11,0))</f>
        <v/>
      </c>
    </row>
    <row r="12">
      <c r="AD12" s="2">
        <f>IF($A12="","",COUNTIFS(Integraciones_Interfaces!$B:$B,$A12,Integraciones_Interfaces!$N:$N,"Activa"))</f>
        <v/>
      </c>
      <c r="AE12" s="2">
        <f>IF($A12="","",COUNTIF(Componentes!$B:$B,$A12))</f>
        <v/>
      </c>
      <c r="AO12" s="2">
        <f>IF(OR($A12="",$AN12="",$Y12="",$Y12=0),"",ROUND($AN12/$Y12,0))</f>
        <v/>
      </c>
    </row>
    <row r="13">
      <c r="AD13" s="2">
        <f>IF($A13="","",COUNTIFS(Integraciones_Interfaces!$B:$B,$A13,Integraciones_Interfaces!$N:$N,"Activa"))</f>
        <v/>
      </c>
      <c r="AE13" s="2">
        <f>IF($A13="","",COUNTIF(Componentes!$B:$B,$A13))</f>
        <v/>
      </c>
      <c r="AO13" s="2">
        <f>IF(OR($A13="",$AN13="",$Y13="",$Y13=0),"",ROUND($AN13/$Y13,0))</f>
        <v/>
      </c>
    </row>
    <row r="14">
      <c r="AD14" s="2">
        <f>IF($A14="","",COUNTIFS(Integraciones_Interfaces!$B:$B,$A14,Integraciones_Interfaces!$N:$N,"Activa"))</f>
        <v/>
      </c>
      <c r="AE14" s="2">
        <f>IF($A14="","",COUNTIF(Componentes!$B:$B,$A14))</f>
        <v/>
      </c>
      <c r="AO14" s="2">
        <f>IF(OR($A14="",$AN14="",$Y14="",$Y14=0),"",ROUND($AN14/$Y14,0))</f>
        <v/>
      </c>
    </row>
    <row r="15">
      <c r="AD15" s="2">
        <f>IF($A15="","",COUNTIFS(Integraciones_Interfaces!$B:$B,$A15,Integraciones_Interfaces!$N:$N,"Activa"))</f>
        <v/>
      </c>
      <c r="AE15" s="2">
        <f>IF($A15="","",COUNTIF(Componentes!$B:$B,$A15))</f>
        <v/>
      </c>
      <c r="AO15" s="2">
        <f>IF(OR($A15="",$AN15="",$Y15="",$Y15=0),"",ROUND($AN15/$Y15,0))</f>
        <v/>
      </c>
    </row>
    <row r="16">
      <c r="AD16" s="2">
        <f>IF($A16="","",COUNTIFS(Integraciones_Interfaces!$B:$B,$A16,Integraciones_Interfaces!$N:$N,"Activa"))</f>
        <v/>
      </c>
      <c r="AE16" s="2">
        <f>IF($A16="","",COUNTIF(Componentes!$B:$B,$A16))</f>
        <v/>
      </c>
      <c r="AO16" s="2">
        <f>IF(OR($A16="",$AN16="",$Y16="",$Y16=0),"",ROUND($AN16/$Y16,0))</f>
        <v/>
      </c>
    </row>
    <row r="17">
      <c r="AD17" s="2">
        <f>IF($A17="","",COUNTIFS(Integraciones_Interfaces!$B:$B,$A17,Integraciones_Interfaces!$N:$N,"Activa"))</f>
        <v/>
      </c>
      <c r="AE17" s="2">
        <f>IF($A17="","",COUNTIF(Componentes!$B:$B,$A17))</f>
        <v/>
      </c>
      <c r="AO17" s="2">
        <f>IF(OR($A17="",$AN17="",$Y17="",$Y17=0),"",ROUND($AN17/$Y17,0))</f>
        <v/>
      </c>
    </row>
    <row r="18">
      <c r="AD18" s="2">
        <f>IF($A18="","",COUNTIFS(Integraciones_Interfaces!$B:$B,$A18,Integraciones_Interfaces!$N:$N,"Activa"))</f>
        <v/>
      </c>
      <c r="AE18" s="2">
        <f>IF($A18="","",COUNTIF(Componentes!$B:$B,$A18))</f>
        <v/>
      </c>
      <c r="AO18" s="2">
        <f>IF(OR($A18="",$AN18="",$Y18="",$Y18=0),"",ROUND($AN18/$Y18,0))</f>
        <v/>
      </c>
    </row>
    <row r="19">
      <c r="AD19" s="2">
        <f>IF($A19="","",COUNTIFS(Integraciones_Interfaces!$B:$B,$A19,Integraciones_Interfaces!$N:$N,"Activa"))</f>
        <v/>
      </c>
      <c r="AE19" s="2">
        <f>IF($A19="","",COUNTIF(Componentes!$B:$B,$A19))</f>
        <v/>
      </c>
      <c r="AO19" s="2">
        <f>IF(OR($A19="",$AN19="",$Y19="",$Y19=0),"",ROUND($AN19/$Y19,0))</f>
        <v/>
      </c>
    </row>
    <row r="20">
      <c r="AD20" s="2">
        <f>IF($A20="","",COUNTIFS(Integraciones_Interfaces!$B:$B,$A20,Integraciones_Interfaces!$N:$N,"Activa"))</f>
        <v/>
      </c>
      <c r="AE20" s="2">
        <f>IF($A20="","",COUNTIF(Componentes!$B:$B,$A20))</f>
        <v/>
      </c>
      <c r="AO20" s="2">
        <f>IF(OR($A20="",$AN20="",$Y20="",$Y20=0),"",ROUND($AN20/$Y20,0))</f>
        <v/>
      </c>
    </row>
    <row r="21">
      <c r="AD21" s="2">
        <f>IF($A21="","",COUNTIFS(Integraciones_Interfaces!$B:$B,$A21,Integraciones_Interfaces!$N:$N,"Activa"))</f>
        <v/>
      </c>
      <c r="AE21" s="2">
        <f>IF($A21="","",COUNTIF(Componentes!$B:$B,$A21))</f>
        <v/>
      </c>
      <c r="AO21" s="2">
        <f>IF(OR($A21="",$AN21="",$Y21="",$Y21=0),"",ROUND($AN21/$Y21,0))</f>
        <v/>
      </c>
    </row>
    <row r="22">
      <c r="AD22" s="2">
        <f>IF($A22="","",COUNTIFS(Integraciones_Interfaces!$B:$B,$A22,Integraciones_Interfaces!$N:$N,"Activa"))</f>
        <v/>
      </c>
      <c r="AE22" s="2">
        <f>IF($A22="","",COUNTIF(Componentes!$B:$B,$A22))</f>
        <v/>
      </c>
      <c r="AO22" s="2">
        <f>IF(OR($A22="",$AN22="",$Y22="",$Y22=0),"",ROUND($AN22/$Y22,0))</f>
        <v/>
      </c>
    </row>
    <row r="23">
      <c r="AD23" s="2">
        <f>IF($A23="","",COUNTIFS(Integraciones_Interfaces!$B:$B,$A23,Integraciones_Interfaces!$N:$N,"Activa"))</f>
        <v/>
      </c>
      <c r="AE23" s="2">
        <f>IF($A23="","",COUNTIF(Componentes!$B:$B,$A23))</f>
        <v/>
      </c>
      <c r="AO23" s="2">
        <f>IF(OR($A23="",$AN23="",$Y23="",$Y23=0),"",ROUND($AN23/$Y23,0))</f>
        <v/>
      </c>
    </row>
    <row r="24">
      <c r="AD24" s="2">
        <f>IF($A24="","",COUNTIFS(Integraciones_Interfaces!$B:$B,$A24,Integraciones_Interfaces!$N:$N,"Activa"))</f>
        <v/>
      </c>
      <c r="AE24" s="2">
        <f>IF($A24="","",COUNTIF(Componentes!$B:$B,$A24))</f>
        <v/>
      </c>
      <c r="AO24" s="2">
        <f>IF(OR($A24="",$AN24="",$Y24="",$Y24=0),"",ROUND($AN24/$Y24,0))</f>
        <v/>
      </c>
    </row>
    <row r="25">
      <c r="AD25" s="2">
        <f>IF($A25="","",COUNTIFS(Integraciones_Interfaces!$B:$B,$A25,Integraciones_Interfaces!$N:$N,"Activa"))</f>
        <v/>
      </c>
      <c r="AE25" s="2">
        <f>IF($A25="","",COUNTIF(Componentes!$B:$B,$A25))</f>
        <v/>
      </c>
      <c r="AO25" s="2">
        <f>IF(OR($A25="",$AN25="",$Y25="",$Y25=0),"",ROUND($AN25/$Y25,0))</f>
        <v/>
      </c>
    </row>
    <row r="26">
      <c r="AD26" s="2">
        <f>IF($A26="","",COUNTIFS(Integraciones_Interfaces!$B:$B,$A26,Integraciones_Interfaces!$N:$N,"Activa"))</f>
        <v/>
      </c>
      <c r="AE26" s="2">
        <f>IF($A26="","",COUNTIF(Componentes!$B:$B,$A26))</f>
        <v/>
      </c>
      <c r="AO26" s="2">
        <f>IF(OR($A26="",$AN26="",$Y26="",$Y26=0),"",ROUND($AN26/$Y26,0))</f>
        <v/>
      </c>
    </row>
    <row r="27">
      <c r="AD27" s="2">
        <f>IF($A27="","",COUNTIFS(Integraciones_Interfaces!$B:$B,$A27,Integraciones_Interfaces!$N:$N,"Activa"))</f>
        <v/>
      </c>
      <c r="AE27" s="2">
        <f>IF($A27="","",COUNTIF(Componentes!$B:$B,$A27))</f>
        <v/>
      </c>
      <c r="AO27" s="2">
        <f>IF(OR($A27="",$AN27="",$Y27="",$Y27=0),"",ROUND($AN27/$Y27,0))</f>
        <v/>
      </c>
    </row>
    <row r="28">
      <c r="AD28" s="2">
        <f>IF($A28="","",COUNTIFS(Integraciones_Interfaces!$B:$B,$A28,Integraciones_Interfaces!$N:$N,"Activa"))</f>
        <v/>
      </c>
      <c r="AE28" s="2">
        <f>IF($A28="","",COUNTIF(Componentes!$B:$B,$A28))</f>
        <v/>
      </c>
      <c r="AO28" s="2">
        <f>IF(OR($A28="",$AN28="",$Y28="",$Y28=0),"",ROUND($AN28/$Y28,0))</f>
        <v/>
      </c>
    </row>
    <row r="29">
      <c r="AD29" s="2">
        <f>IF($A29="","",COUNTIFS(Integraciones_Interfaces!$B:$B,$A29,Integraciones_Interfaces!$N:$N,"Activa"))</f>
        <v/>
      </c>
      <c r="AE29" s="2">
        <f>IF($A29="","",COUNTIF(Componentes!$B:$B,$A29))</f>
        <v/>
      </c>
      <c r="AO29" s="2">
        <f>IF(OR($A29="",$AN29="",$Y29="",$Y29=0),"",ROUND($AN29/$Y29,0))</f>
        <v/>
      </c>
    </row>
    <row r="30">
      <c r="AD30" s="2">
        <f>IF($A30="","",COUNTIFS(Integraciones_Interfaces!$B:$B,$A30,Integraciones_Interfaces!$N:$N,"Activa"))</f>
        <v/>
      </c>
      <c r="AE30" s="2">
        <f>IF($A30="","",COUNTIF(Componentes!$B:$B,$A30))</f>
        <v/>
      </c>
      <c r="AO30" s="2">
        <f>IF(OR($A30="",$AN30="",$Y30="",$Y30=0),"",ROUND($AN30/$Y30,0))</f>
        <v/>
      </c>
    </row>
    <row r="31">
      <c r="AD31" s="2">
        <f>IF($A31="","",COUNTIFS(Integraciones_Interfaces!$B:$B,$A31,Integraciones_Interfaces!$N:$N,"Activa"))</f>
        <v/>
      </c>
      <c r="AE31" s="2">
        <f>IF($A31="","",COUNTIF(Componentes!$B:$B,$A31))</f>
        <v/>
      </c>
      <c r="AO31" s="2">
        <f>IF(OR($A31="",$AN31="",$Y31="",$Y31=0),"",ROUND($AN31/$Y31,0))</f>
        <v/>
      </c>
    </row>
    <row r="32">
      <c r="AD32" s="2">
        <f>IF($A32="","",COUNTIFS(Integraciones_Interfaces!$B:$B,$A32,Integraciones_Interfaces!$N:$N,"Activa"))</f>
        <v/>
      </c>
      <c r="AE32" s="2">
        <f>IF($A32="","",COUNTIF(Componentes!$B:$B,$A32))</f>
        <v/>
      </c>
      <c r="AO32" s="2">
        <f>IF(OR($A32="",$AN32="",$Y32="",$Y32=0),"",ROUND($AN32/$Y32,0))</f>
        <v/>
      </c>
    </row>
    <row r="33">
      <c r="AD33" s="2">
        <f>IF($A33="","",COUNTIFS(Integraciones_Interfaces!$B:$B,$A33,Integraciones_Interfaces!$N:$N,"Activa"))</f>
        <v/>
      </c>
      <c r="AE33" s="2">
        <f>IF($A33="","",COUNTIF(Componentes!$B:$B,$A33))</f>
        <v/>
      </c>
      <c r="AO33" s="2">
        <f>IF(OR($A33="",$AN33="",$Y33="",$Y33=0),"",ROUND($AN33/$Y33,0))</f>
        <v/>
      </c>
    </row>
    <row r="34">
      <c r="AD34" s="2">
        <f>IF($A34="","",COUNTIFS(Integraciones_Interfaces!$B:$B,$A34,Integraciones_Interfaces!$N:$N,"Activa"))</f>
        <v/>
      </c>
      <c r="AE34" s="2">
        <f>IF($A34="","",COUNTIF(Componentes!$B:$B,$A34))</f>
        <v/>
      </c>
      <c r="AO34" s="2">
        <f>IF(OR($A34="",$AN34="",$Y34="",$Y34=0),"",ROUND($AN34/$Y34,0))</f>
        <v/>
      </c>
    </row>
    <row r="35">
      <c r="AD35" s="2">
        <f>IF($A35="","",COUNTIFS(Integraciones_Interfaces!$B:$B,$A35,Integraciones_Interfaces!$N:$N,"Activa"))</f>
        <v/>
      </c>
      <c r="AE35" s="2">
        <f>IF($A35="","",COUNTIF(Componentes!$B:$B,$A35))</f>
        <v/>
      </c>
      <c r="AO35" s="2">
        <f>IF(OR($A35="",$AN35="",$Y35="",$Y35=0),"",ROUND($AN35/$Y35,0))</f>
        <v/>
      </c>
    </row>
    <row r="36">
      <c r="AD36" s="2">
        <f>IF($A36="","",COUNTIFS(Integraciones_Interfaces!$B:$B,$A36,Integraciones_Interfaces!$N:$N,"Activa"))</f>
        <v/>
      </c>
      <c r="AE36" s="2">
        <f>IF($A36="","",COUNTIF(Componentes!$B:$B,$A36))</f>
        <v/>
      </c>
      <c r="AO36" s="2">
        <f>IF(OR($A36="",$AN36="",$Y36="",$Y36=0),"",ROUND($AN36/$Y36,0))</f>
        <v/>
      </c>
    </row>
    <row r="37">
      <c r="AD37" s="2">
        <f>IF($A37="","",COUNTIFS(Integraciones_Interfaces!$B:$B,$A37,Integraciones_Interfaces!$N:$N,"Activa"))</f>
        <v/>
      </c>
      <c r="AE37" s="2">
        <f>IF($A37="","",COUNTIF(Componentes!$B:$B,$A37))</f>
        <v/>
      </c>
      <c r="AO37" s="2">
        <f>IF(OR($A37="",$AN37="",$Y37="",$Y37=0),"",ROUND($AN37/$Y37,0))</f>
        <v/>
      </c>
    </row>
    <row r="38">
      <c r="AD38" s="2">
        <f>IF($A38="","",COUNTIFS(Integraciones_Interfaces!$B:$B,$A38,Integraciones_Interfaces!$N:$N,"Activa"))</f>
        <v/>
      </c>
      <c r="AE38" s="2">
        <f>IF($A38="","",COUNTIF(Componentes!$B:$B,$A38))</f>
        <v/>
      </c>
      <c r="AO38" s="2">
        <f>IF(OR($A38="",$AN38="",$Y38="",$Y38=0),"",ROUND($AN38/$Y38,0))</f>
        <v/>
      </c>
    </row>
    <row r="39">
      <c r="AD39" s="2">
        <f>IF($A39="","",COUNTIFS(Integraciones_Interfaces!$B:$B,$A39,Integraciones_Interfaces!$N:$N,"Activa"))</f>
        <v/>
      </c>
      <c r="AE39" s="2">
        <f>IF($A39="","",COUNTIF(Componentes!$B:$B,$A39))</f>
        <v/>
      </c>
      <c r="AO39" s="2">
        <f>IF(OR($A39="",$AN39="",$Y39="",$Y39=0),"",ROUND($AN39/$Y39,0))</f>
        <v/>
      </c>
    </row>
    <row r="40">
      <c r="AD40" s="2">
        <f>IF($A40="","",COUNTIFS(Integraciones_Interfaces!$B:$B,$A40,Integraciones_Interfaces!$N:$N,"Activa"))</f>
        <v/>
      </c>
      <c r="AE40" s="2">
        <f>IF($A40="","",COUNTIF(Componentes!$B:$B,$A40))</f>
        <v/>
      </c>
      <c r="AO40" s="2">
        <f>IF(OR($A40="",$AN40="",$Y40="",$Y40=0),"",ROUND($AN40/$Y40,0))</f>
        <v/>
      </c>
    </row>
    <row r="41">
      <c r="AD41" s="2">
        <f>IF($A41="","",COUNTIFS(Integraciones_Interfaces!$B:$B,$A41,Integraciones_Interfaces!$N:$N,"Activa"))</f>
        <v/>
      </c>
      <c r="AE41" s="2">
        <f>IF($A41="","",COUNTIF(Componentes!$B:$B,$A41))</f>
        <v/>
      </c>
      <c r="AO41" s="2">
        <f>IF(OR($A41="",$AN41="",$Y41="",$Y41=0),"",ROUND($AN41/$Y41,0))</f>
        <v/>
      </c>
    </row>
    <row r="42">
      <c r="AD42" s="2">
        <f>IF($A42="","",COUNTIFS(Integraciones_Interfaces!$B:$B,$A42,Integraciones_Interfaces!$N:$N,"Activa"))</f>
        <v/>
      </c>
      <c r="AE42" s="2">
        <f>IF($A42="","",COUNTIF(Componentes!$B:$B,$A42))</f>
        <v/>
      </c>
      <c r="AO42" s="2">
        <f>IF(OR($A42="",$AN42="",$Y42="",$Y42=0),"",ROUND($AN42/$Y42,0))</f>
        <v/>
      </c>
    </row>
    <row r="43">
      <c r="AD43" s="2">
        <f>IF($A43="","",COUNTIFS(Integraciones_Interfaces!$B:$B,$A43,Integraciones_Interfaces!$N:$N,"Activa"))</f>
        <v/>
      </c>
      <c r="AE43" s="2">
        <f>IF($A43="","",COUNTIF(Componentes!$B:$B,$A43))</f>
        <v/>
      </c>
      <c r="AO43" s="2">
        <f>IF(OR($A43="",$AN43="",$Y43="",$Y43=0),"",ROUND($AN43/$Y43,0))</f>
        <v/>
      </c>
    </row>
    <row r="44">
      <c r="AD44" s="2">
        <f>IF($A44="","",COUNTIFS(Integraciones_Interfaces!$B:$B,$A44,Integraciones_Interfaces!$N:$N,"Activa"))</f>
        <v/>
      </c>
      <c r="AE44" s="2">
        <f>IF($A44="","",COUNTIF(Componentes!$B:$B,$A44))</f>
        <v/>
      </c>
      <c r="AO44" s="2">
        <f>IF(OR($A44="",$AN44="",$Y44="",$Y44=0),"",ROUND($AN44/$Y44,0))</f>
        <v/>
      </c>
    </row>
    <row r="45">
      <c r="AD45" s="2">
        <f>IF($A45="","",COUNTIFS(Integraciones_Interfaces!$B:$B,$A45,Integraciones_Interfaces!$N:$N,"Activa"))</f>
        <v/>
      </c>
      <c r="AE45" s="2">
        <f>IF($A45="","",COUNTIF(Componentes!$B:$B,$A45))</f>
        <v/>
      </c>
      <c r="AO45" s="2">
        <f>IF(OR($A45="",$AN45="",$Y45="",$Y45=0),"",ROUND($AN45/$Y45,0))</f>
        <v/>
      </c>
    </row>
    <row r="46">
      <c r="AD46" s="2">
        <f>IF($A46="","",COUNTIFS(Integraciones_Interfaces!$B:$B,$A46,Integraciones_Interfaces!$N:$N,"Activa"))</f>
        <v/>
      </c>
      <c r="AE46" s="2">
        <f>IF($A46="","",COUNTIF(Componentes!$B:$B,$A46))</f>
        <v/>
      </c>
      <c r="AO46" s="2">
        <f>IF(OR($A46="",$AN46="",$Y46="",$Y46=0),"",ROUND($AN46/$Y46,0))</f>
        <v/>
      </c>
    </row>
    <row r="47">
      <c r="AD47" s="2">
        <f>IF($A47="","",COUNTIFS(Integraciones_Interfaces!$B:$B,$A47,Integraciones_Interfaces!$N:$N,"Activa"))</f>
        <v/>
      </c>
      <c r="AE47" s="2">
        <f>IF($A47="","",COUNTIF(Componentes!$B:$B,$A47))</f>
        <v/>
      </c>
      <c r="AO47" s="2">
        <f>IF(OR($A47="",$AN47="",$Y47="",$Y47=0),"",ROUND($AN47/$Y47,0))</f>
        <v/>
      </c>
    </row>
    <row r="48">
      <c r="AD48" s="2">
        <f>IF($A48="","",COUNTIFS(Integraciones_Interfaces!$B:$B,$A48,Integraciones_Interfaces!$N:$N,"Activa"))</f>
        <v/>
      </c>
      <c r="AE48" s="2">
        <f>IF($A48="","",COUNTIF(Componentes!$B:$B,$A48))</f>
        <v/>
      </c>
      <c r="AO48" s="2">
        <f>IF(OR($A48="",$AN48="",$Y48="",$Y48=0),"",ROUND($AN48/$Y48,0))</f>
        <v/>
      </c>
    </row>
    <row r="49">
      <c r="AD49" s="2">
        <f>IF($A49="","",COUNTIFS(Integraciones_Interfaces!$B:$B,$A49,Integraciones_Interfaces!$N:$N,"Activa"))</f>
        <v/>
      </c>
      <c r="AE49" s="2">
        <f>IF($A49="","",COUNTIF(Componentes!$B:$B,$A49))</f>
        <v/>
      </c>
      <c r="AO49" s="2">
        <f>IF(OR($A49="",$AN49="",$Y49="",$Y49=0),"",ROUND($AN49/$Y49,0))</f>
        <v/>
      </c>
    </row>
    <row r="50">
      <c r="AD50" s="2">
        <f>IF($A50="","",COUNTIFS(Integraciones_Interfaces!$B:$B,$A50,Integraciones_Interfaces!$N:$N,"Activa"))</f>
        <v/>
      </c>
      <c r="AE50" s="2">
        <f>IF($A50="","",COUNTIF(Componentes!$B:$B,$A50))</f>
        <v/>
      </c>
      <c r="AO50" s="2">
        <f>IF(OR($A50="",$AN50="",$Y50="",$Y50=0),"",ROUND($AN50/$Y50,0))</f>
        <v/>
      </c>
    </row>
    <row r="51">
      <c r="AD51" s="2">
        <f>IF($A51="","",COUNTIFS(Integraciones_Interfaces!$B:$B,$A51,Integraciones_Interfaces!$N:$N,"Activa"))</f>
        <v/>
      </c>
      <c r="AE51" s="2">
        <f>IF($A51="","",COUNTIF(Componentes!$B:$B,$A51))</f>
        <v/>
      </c>
      <c r="AO51" s="2">
        <f>IF(OR($A51="",$AN51="",$Y51="",$Y51=0),"",ROUND($AN51/$Y51,0))</f>
        <v/>
      </c>
    </row>
    <row r="52">
      <c r="AD52" s="2">
        <f>IF($A52="","",COUNTIFS(Integraciones_Interfaces!$B:$B,$A52,Integraciones_Interfaces!$N:$N,"Activa"))</f>
        <v/>
      </c>
      <c r="AE52" s="2">
        <f>IF($A52="","",COUNTIF(Componentes!$B:$B,$A52))</f>
        <v/>
      </c>
      <c r="AO52" s="2">
        <f>IF(OR($A52="",$AN52="",$Y52="",$Y52=0),"",ROUND($AN52/$Y52,0))</f>
        <v/>
      </c>
    </row>
    <row r="53">
      <c r="AD53" s="2">
        <f>IF($A53="","",COUNTIFS(Integraciones_Interfaces!$B:$B,$A53,Integraciones_Interfaces!$N:$N,"Activa"))</f>
        <v/>
      </c>
      <c r="AE53" s="2">
        <f>IF($A53="","",COUNTIF(Componentes!$B:$B,$A53))</f>
        <v/>
      </c>
      <c r="AO53" s="2">
        <f>IF(OR($A53="",$AN53="",$Y53="",$Y53=0),"",ROUND($AN53/$Y53,0))</f>
        <v/>
      </c>
    </row>
    <row r="54">
      <c r="AD54" s="2">
        <f>IF($A54="","",COUNTIFS(Integraciones_Interfaces!$B:$B,$A54,Integraciones_Interfaces!$N:$N,"Activa"))</f>
        <v/>
      </c>
      <c r="AE54" s="2">
        <f>IF($A54="","",COUNTIF(Componentes!$B:$B,$A54))</f>
        <v/>
      </c>
      <c r="AO54" s="2">
        <f>IF(OR($A54="",$AN54="",$Y54="",$Y54=0),"",ROUND($AN54/$Y54,0))</f>
        <v/>
      </c>
    </row>
    <row r="55">
      <c r="AD55" s="2">
        <f>IF($A55="","",COUNTIFS(Integraciones_Interfaces!$B:$B,$A55,Integraciones_Interfaces!$N:$N,"Activa"))</f>
        <v/>
      </c>
      <c r="AE55" s="2">
        <f>IF($A55="","",COUNTIF(Componentes!$B:$B,$A55))</f>
        <v/>
      </c>
      <c r="AO55" s="2">
        <f>IF(OR($A55="",$AN55="",$Y55="",$Y55=0),"",ROUND($AN55/$Y55,0))</f>
        <v/>
      </c>
    </row>
    <row r="56">
      <c r="AD56" s="2">
        <f>IF($A56="","",COUNTIFS(Integraciones_Interfaces!$B:$B,$A56,Integraciones_Interfaces!$N:$N,"Activa"))</f>
        <v/>
      </c>
      <c r="AE56" s="2">
        <f>IF($A56="","",COUNTIF(Componentes!$B:$B,$A56))</f>
        <v/>
      </c>
      <c r="AO56" s="2">
        <f>IF(OR($A56="",$AN56="",$Y56="",$Y56=0),"",ROUND($AN56/$Y56,0))</f>
        <v/>
      </c>
    </row>
    <row r="57">
      <c r="AD57" s="2">
        <f>IF($A57="","",COUNTIFS(Integraciones_Interfaces!$B:$B,$A57,Integraciones_Interfaces!$N:$N,"Activa"))</f>
        <v/>
      </c>
      <c r="AE57" s="2">
        <f>IF($A57="","",COUNTIF(Componentes!$B:$B,$A57))</f>
        <v/>
      </c>
      <c r="AO57" s="2">
        <f>IF(OR($A57="",$AN57="",$Y57="",$Y57=0),"",ROUND($AN57/$Y57,0))</f>
        <v/>
      </c>
    </row>
    <row r="58">
      <c r="AD58" s="2">
        <f>IF($A58="","",COUNTIFS(Integraciones_Interfaces!$B:$B,$A58,Integraciones_Interfaces!$N:$N,"Activa"))</f>
        <v/>
      </c>
      <c r="AE58" s="2">
        <f>IF($A58="","",COUNTIF(Componentes!$B:$B,$A58))</f>
        <v/>
      </c>
      <c r="AO58" s="2">
        <f>IF(OR($A58="",$AN58="",$Y58="",$Y58=0),"",ROUND($AN58/$Y58,0))</f>
        <v/>
      </c>
    </row>
    <row r="59">
      <c r="AD59" s="2">
        <f>IF($A59="","",COUNTIFS(Integraciones_Interfaces!$B:$B,$A59,Integraciones_Interfaces!$N:$N,"Activa"))</f>
        <v/>
      </c>
      <c r="AE59" s="2">
        <f>IF($A59="","",COUNTIF(Componentes!$B:$B,$A59))</f>
        <v/>
      </c>
      <c r="AO59" s="2">
        <f>IF(OR($A59="",$AN59="",$Y59="",$Y59=0),"",ROUND($AN59/$Y59,0))</f>
        <v/>
      </c>
    </row>
    <row r="60">
      <c r="AD60" s="2">
        <f>IF($A60="","",COUNTIFS(Integraciones_Interfaces!$B:$B,$A60,Integraciones_Interfaces!$N:$N,"Activa"))</f>
        <v/>
      </c>
      <c r="AE60" s="2">
        <f>IF($A60="","",COUNTIF(Componentes!$B:$B,$A60))</f>
        <v/>
      </c>
      <c r="AO60" s="2">
        <f>IF(OR($A60="",$AN60="",$Y60="",$Y60=0),"",ROUND($AN60/$Y60,0))</f>
        <v/>
      </c>
    </row>
    <row r="61">
      <c r="AD61" s="2">
        <f>IF($A61="","",COUNTIFS(Integraciones_Interfaces!$B:$B,$A61,Integraciones_Interfaces!$N:$N,"Activa"))</f>
        <v/>
      </c>
      <c r="AE61" s="2">
        <f>IF($A61="","",COUNTIF(Componentes!$B:$B,$A61))</f>
        <v/>
      </c>
      <c r="AO61" s="2">
        <f>IF(OR($A61="",$AN61="",$Y61="",$Y61=0),"",ROUND($AN61/$Y61,0))</f>
        <v/>
      </c>
    </row>
    <row r="62">
      <c r="AD62" s="2">
        <f>IF($A62="","",COUNTIFS(Integraciones_Interfaces!$B:$B,$A62,Integraciones_Interfaces!$N:$N,"Activa"))</f>
        <v/>
      </c>
      <c r="AE62" s="2">
        <f>IF($A62="","",COUNTIF(Componentes!$B:$B,$A62))</f>
        <v/>
      </c>
      <c r="AO62" s="2">
        <f>IF(OR($A62="",$AN62="",$Y62="",$Y62=0),"",ROUND($AN62/$Y62,0))</f>
        <v/>
      </c>
    </row>
    <row r="63">
      <c r="AD63" s="2">
        <f>IF($A63="","",COUNTIFS(Integraciones_Interfaces!$B:$B,$A63,Integraciones_Interfaces!$N:$N,"Activa"))</f>
        <v/>
      </c>
      <c r="AE63" s="2">
        <f>IF($A63="","",COUNTIF(Componentes!$B:$B,$A63))</f>
        <v/>
      </c>
      <c r="AO63" s="2">
        <f>IF(OR($A63="",$AN63="",$Y63="",$Y63=0),"",ROUND($AN63/$Y63,0))</f>
        <v/>
      </c>
    </row>
    <row r="64">
      <c r="AD64" s="2">
        <f>IF($A64="","",COUNTIFS(Integraciones_Interfaces!$B:$B,$A64,Integraciones_Interfaces!$N:$N,"Activa"))</f>
        <v/>
      </c>
      <c r="AE64" s="2">
        <f>IF($A64="","",COUNTIF(Componentes!$B:$B,$A64))</f>
        <v/>
      </c>
      <c r="AO64" s="2">
        <f>IF(OR($A64="",$AN64="",$Y64="",$Y64=0),"",ROUND($AN64/$Y64,0))</f>
        <v/>
      </c>
    </row>
    <row r="65">
      <c r="AD65" s="2">
        <f>IF($A65="","",COUNTIFS(Integraciones_Interfaces!$B:$B,$A65,Integraciones_Interfaces!$N:$N,"Activa"))</f>
        <v/>
      </c>
      <c r="AE65" s="2">
        <f>IF($A65="","",COUNTIF(Componentes!$B:$B,$A65))</f>
        <v/>
      </c>
      <c r="AO65" s="2">
        <f>IF(OR($A65="",$AN65="",$Y65="",$Y65=0),"",ROUND($AN65/$Y65,0))</f>
        <v/>
      </c>
    </row>
    <row r="66">
      <c r="AD66" s="2">
        <f>IF($A66="","",COUNTIFS(Integraciones_Interfaces!$B:$B,$A66,Integraciones_Interfaces!$N:$N,"Activa"))</f>
        <v/>
      </c>
      <c r="AE66" s="2">
        <f>IF($A66="","",COUNTIF(Componentes!$B:$B,$A66))</f>
        <v/>
      </c>
      <c r="AO66" s="2">
        <f>IF(OR($A66="",$AN66="",$Y66="",$Y66=0),"",ROUND($AN66/$Y66,0))</f>
        <v/>
      </c>
    </row>
    <row r="67">
      <c r="AD67" s="2">
        <f>IF($A67="","",COUNTIFS(Integraciones_Interfaces!$B:$B,$A67,Integraciones_Interfaces!$N:$N,"Activa"))</f>
        <v/>
      </c>
      <c r="AE67" s="2">
        <f>IF($A67="","",COUNTIF(Componentes!$B:$B,$A67))</f>
        <v/>
      </c>
      <c r="AO67" s="2">
        <f>IF(OR($A67="",$AN67="",$Y67="",$Y67=0),"",ROUND($AN67/$Y67,0))</f>
        <v/>
      </c>
    </row>
    <row r="68">
      <c r="AD68" s="2">
        <f>IF($A68="","",COUNTIFS(Integraciones_Interfaces!$B:$B,$A68,Integraciones_Interfaces!$N:$N,"Activa"))</f>
        <v/>
      </c>
      <c r="AE68" s="2">
        <f>IF($A68="","",COUNTIF(Componentes!$B:$B,$A68))</f>
        <v/>
      </c>
      <c r="AO68" s="2">
        <f>IF(OR($A68="",$AN68="",$Y68="",$Y68=0),"",ROUND($AN68/$Y68,0))</f>
        <v/>
      </c>
    </row>
    <row r="69">
      <c r="AD69" s="2">
        <f>IF($A69="","",COUNTIFS(Integraciones_Interfaces!$B:$B,$A69,Integraciones_Interfaces!$N:$N,"Activa"))</f>
        <v/>
      </c>
      <c r="AE69" s="2">
        <f>IF($A69="","",COUNTIF(Componentes!$B:$B,$A69))</f>
        <v/>
      </c>
      <c r="AO69" s="2">
        <f>IF(OR($A69="",$AN69="",$Y69="",$Y69=0),"",ROUND($AN69/$Y69,0))</f>
        <v/>
      </c>
    </row>
    <row r="70">
      <c r="AD70" s="2">
        <f>IF($A70="","",COUNTIFS(Integraciones_Interfaces!$B:$B,$A70,Integraciones_Interfaces!$N:$N,"Activa"))</f>
        <v/>
      </c>
      <c r="AE70" s="2">
        <f>IF($A70="","",COUNTIF(Componentes!$B:$B,$A70))</f>
        <v/>
      </c>
      <c r="AO70" s="2">
        <f>IF(OR($A70="",$AN70="",$Y70="",$Y70=0),"",ROUND($AN70/$Y70,0))</f>
        <v/>
      </c>
    </row>
    <row r="71">
      <c r="AD71" s="2">
        <f>IF($A71="","",COUNTIFS(Integraciones_Interfaces!$B:$B,$A71,Integraciones_Interfaces!$N:$N,"Activa"))</f>
        <v/>
      </c>
      <c r="AE71" s="2">
        <f>IF($A71="","",COUNTIF(Componentes!$B:$B,$A71))</f>
        <v/>
      </c>
      <c r="AO71" s="2">
        <f>IF(OR($A71="",$AN71="",$Y71="",$Y71=0),"",ROUND($AN71/$Y71,0))</f>
        <v/>
      </c>
    </row>
    <row r="72">
      <c r="AD72" s="2">
        <f>IF($A72="","",COUNTIFS(Integraciones_Interfaces!$B:$B,$A72,Integraciones_Interfaces!$N:$N,"Activa"))</f>
        <v/>
      </c>
      <c r="AE72" s="2">
        <f>IF($A72="","",COUNTIF(Componentes!$B:$B,$A72))</f>
        <v/>
      </c>
      <c r="AO72" s="2">
        <f>IF(OR($A72="",$AN72="",$Y72="",$Y72=0),"",ROUND($AN72/$Y72,0))</f>
        <v/>
      </c>
    </row>
    <row r="73">
      <c r="AD73" s="2">
        <f>IF($A73="","",COUNTIFS(Integraciones_Interfaces!$B:$B,$A73,Integraciones_Interfaces!$N:$N,"Activa"))</f>
        <v/>
      </c>
      <c r="AE73" s="2">
        <f>IF($A73="","",COUNTIF(Componentes!$B:$B,$A73))</f>
        <v/>
      </c>
      <c r="AO73" s="2">
        <f>IF(OR($A73="",$AN73="",$Y73="",$Y73=0),"",ROUND($AN73/$Y73,0))</f>
        <v/>
      </c>
    </row>
    <row r="74">
      <c r="AD74" s="2">
        <f>IF($A74="","",COUNTIFS(Integraciones_Interfaces!$B:$B,$A74,Integraciones_Interfaces!$N:$N,"Activa"))</f>
        <v/>
      </c>
      <c r="AE74" s="2">
        <f>IF($A74="","",COUNTIF(Componentes!$B:$B,$A74))</f>
        <v/>
      </c>
      <c r="AO74" s="2">
        <f>IF(OR($A74="",$AN74="",$Y74="",$Y74=0),"",ROUND($AN74/$Y74,0))</f>
        <v/>
      </c>
    </row>
    <row r="75">
      <c r="AD75" s="2">
        <f>IF($A75="","",COUNTIFS(Integraciones_Interfaces!$B:$B,$A75,Integraciones_Interfaces!$N:$N,"Activa"))</f>
        <v/>
      </c>
      <c r="AE75" s="2">
        <f>IF($A75="","",COUNTIF(Componentes!$B:$B,$A75))</f>
        <v/>
      </c>
      <c r="AO75" s="2">
        <f>IF(OR($A75="",$AN75="",$Y75="",$Y75=0),"",ROUND($AN75/$Y75,0))</f>
        <v/>
      </c>
    </row>
    <row r="76">
      <c r="AD76" s="2">
        <f>IF($A76="","",COUNTIFS(Integraciones_Interfaces!$B:$B,$A76,Integraciones_Interfaces!$N:$N,"Activa"))</f>
        <v/>
      </c>
      <c r="AE76" s="2">
        <f>IF($A76="","",COUNTIF(Componentes!$B:$B,$A76))</f>
        <v/>
      </c>
      <c r="AO76" s="2">
        <f>IF(OR($A76="",$AN76="",$Y76="",$Y76=0),"",ROUND($AN76/$Y76,0))</f>
        <v/>
      </c>
    </row>
    <row r="77">
      <c r="AD77" s="2">
        <f>IF($A77="","",COUNTIFS(Integraciones_Interfaces!$B:$B,$A77,Integraciones_Interfaces!$N:$N,"Activa"))</f>
        <v/>
      </c>
      <c r="AE77" s="2">
        <f>IF($A77="","",COUNTIF(Componentes!$B:$B,$A77))</f>
        <v/>
      </c>
      <c r="AO77" s="2">
        <f>IF(OR($A77="",$AN77="",$Y77="",$Y77=0),"",ROUND($AN77/$Y77,0))</f>
        <v/>
      </c>
    </row>
    <row r="78">
      <c r="AD78" s="2">
        <f>IF($A78="","",COUNTIFS(Integraciones_Interfaces!$B:$B,$A78,Integraciones_Interfaces!$N:$N,"Activa"))</f>
        <v/>
      </c>
      <c r="AE78" s="2">
        <f>IF($A78="","",COUNTIF(Componentes!$B:$B,$A78))</f>
        <v/>
      </c>
      <c r="AO78" s="2">
        <f>IF(OR($A78="",$AN78="",$Y78="",$Y78=0),"",ROUND($AN78/$Y78,0))</f>
        <v/>
      </c>
    </row>
    <row r="79">
      <c r="AD79" s="2">
        <f>IF($A79="","",COUNTIFS(Integraciones_Interfaces!$B:$B,$A79,Integraciones_Interfaces!$N:$N,"Activa"))</f>
        <v/>
      </c>
      <c r="AE79" s="2">
        <f>IF($A79="","",COUNTIF(Componentes!$B:$B,$A79))</f>
        <v/>
      </c>
      <c r="AO79" s="2">
        <f>IF(OR($A79="",$AN79="",$Y79="",$Y79=0),"",ROUND($AN79/$Y79,0))</f>
        <v/>
      </c>
    </row>
    <row r="80">
      <c r="AD80" s="2">
        <f>IF($A80="","",COUNTIFS(Integraciones_Interfaces!$B:$B,$A80,Integraciones_Interfaces!$N:$N,"Activa"))</f>
        <v/>
      </c>
      <c r="AE80" s="2">
        <f>IF($A80="","",COUNTIF(Componentes!$B:$B,$A80))</f>
        <v/>
      </c>
      <c r="AO80" s="2">
        <f>IF(OR($A80="",$AN80="",$Y80="",$Y80=0),"",ROUND($AN80/$Y80,0))</f>
        <v/>
      </c>
    </row>
    <row r="81">
      <c r="AD81" s="2">
        <f>IF($A81="","",COUNTIFS(Integraciones_Interfaces!$B:$B,$A81,Integraciones_Interfaces!$N:$N,"Activa"))</f>
        <v/>
      </c>
      <c r="AE81" s="2">
        <f>IF($A81="","",COUNTIF(Componentes!$B:$B,$A81))</f>
        <v/>
      </c>
      <c r="AO81" s="2">
        <f>IF(OR($A81="",$AN81="",$Y81="",$Y81=0),"",ROUND($AN81/$Y81,0))</f>
        <v/>
      </c>
    </row>
    <row r="82">
      <c r="AD82" s="2">
        <f>IF($A82="","",COUNTIFS(Integraciones_Interfaces!$B:$B,$A82,Integraciones_Interfaces!$N:$N,"Activa"))</f>
        <v/>
      </c>
      <c r="AE82" s="2">
        <f>IF($A82="","",COUNTIF(Componentes!$B:$B,$A82))</f>
        <v/>
      </c>
      <c r="AO82" s="2">
        <f>IF(OR($A82="",$AN82="",$Y82="",$Y82=0),"",ROUND($AN82/$Y82,0))</f>
        <v/>
      </c>
    </row>
    <row r="83">
      <c r="AD83" s="2">
        <f>IF($A83="","",COUNTIFS(Integraciones_Interfaces!$B:$B,$A83,Integraciones_Interfaces!$N:$N,"Activa"))</f>
        <v/>
      </c>
      <c r="AE83" s="2">
        <f>IF($A83="","",COUNTIF(Componentes!$B:$B,$A83))</f>
        <v/>
      </c>
      <c r="AO83" s="2">
        <f>IF(OR($A83="",$AN83="",$Y83="",$Y83=0),"",ROUND($AN83/$Y83,0))</f>
        <v/>
      </c>
    </row>
    <row r="84">
      <c r="AD84" s="2">
        <f>IF($A84="","",COUNTIFS(Integraciones_Interfaces!$B:$B,$A84,Integraciones_Interfaces!$N:$N,"Activa"))</f>
        <v/>
      </c>
      <c r="AE84" s="2">
        <f>IF($A84="","",COUNTIF(Componentes!$B:$B,$A84))</f>
        <v/>
      </c>
      <c r="AO84" s="2">
        <f>IF(OR($A84="",$AN84="",$Y84="",$Y84=0),"",ROUND($AN84/$Y84,0))</f>
        <v/>
      </c>
    </row>
    <row r="85">
      <c r="AD85" s="2">
        <f>IF($A85="","",COUNTIFS(Integraciones_Interfaces!$B:$B,$A85,Integraciones_Interfaces!$N:$N,"Activa"))</f>
        <v/>
      </c>
      <c r="AE85" s="2">
        <f>IF($A85="","",COUNTIF(Componentes!$B:$B,$A85))</f>
        <v/>
      </c>
      <c r="AO85" s="2">
        <f>IF(OR($A85="",$AN85="",$Y85="",$Y85=0),"",ROUND($AN85/$Y85,0))</f>
        <v/>
      </c>
    </row>
    <row r="86">
      <c r="AD86" s="2">
        <f>IF($A86="","",COUNTIFS(Integraciones_Interfaces!$B:$B,$A86,Integraciones_Interfaces!$N:$N,"Activa"))</f>
        <v/>
      </c>
      <c r="AE86" s="2">
        <f>IF($A86="","",COUNTIF(Componentes!$B:$B,$A86))</f>
        <v/>
      </c>
      <c r="AO86" s="2">
        <f>IF(OR($A86="",$AN86="",$Y86="",$Y86=0),"",ROUND($AN86/$Y86,0))</f>
        <v/>
      </c>
    </row>
    <row r="87">
      <c r="AD87" s="2">
        <f>IF($A87="","",COUNTIFS(Integraciones_Interfaces!$B:$B,$A87,Integraciones_Interfaces!$N:$N,"Activa"))</f>
        <v/>
      </c>
      <c r="AE87" s="2">
        <f>IF($A87="","",COUNTIF(Componentes!$B:$B,$A87))</f>
        <v/>
      </c>
      <c r="AO87" s="2">
        <f>IF(OR($A87="",$AN87="",$Y87="",$Y87=0),"",ROUND($AN87/$Y87,0))</f>
        <v/>
      </c>
    </row>
    <row r="88">
      <c r="AD88" s="2">
        <f>IF($A88="","",COUNTIFS(Integraciones_Interfaces!$B:$B,$A88,Integraciones_Interfaces!$N:$N,"Activa"))</f>
        <v/>
      </c>
      <c r="AE88" s="2">
        <f>IF($A88="","",COUNTIF(Componentes!$B:$B,$A88))</f>
        <v/>
      </c>
      <c r="AO88" s="2">
        <f>IF(OR($A88="",$AN88="",$Y88="",$Y88=0),"",ROUND($AN88/$Y88,0))</f>
        <v/>
      </c>
    </row>
    <row r="89">
      <c r="AD89" s="2">
        <f>IF($A89="","",COUNTIFS(Integraciones_Interfaces!$B:$B,$A89,Integraciones_Interfaces!$N:$N,"Activa"))</f>
        <v/>
      </c>
      <c r="AE89" s="2">
        <f>IF($A89="","",COUNTIF(Componentes!$B:$B,$A89))</f>
        <v/>
      </c>
      <c r="AO89" s="2">
        <f>IF(OR($A89="",$AN89="",$Y89="",$Y89=0),"",ROUND($AN89/$Y89,0))</f>
        <v/>
      </c>
    </row>
    <row r="90">
      <c r="AD90" s="2">
        <f>IF($A90="","",COUNTIFS(Integraciones_Interfaces!$B:$B,$A90,Integraciones_Interfaces!$N:$N,"Activa"))</f>
        <v/>
      </c>
      <c r="AE90" s="2">
        <f>IF($A90="","",COUNTIF(Componentes!$B:$B,$A90))</f>
        <v/>
      </c>
      <c r="AO90" s="2">
        <f>IF(OR($A90="",$AN90="",$Y90="",$Y90=0),"",ROUND($AN90/$Y90,0))</f>
        <v/>
      </c>
    </row>
    <row r="91">
      <c r="AD91" s="2">
        <f>IF($A91="","",COUNTIFS(Integraciones_Interfaces!$B:$B,$A91,Integraciones_Interfaces!$N:$N,"Activa"))</f>
        <v/>
      </c>
      <c r="AE91" s="2">
        <f>IF($A91="","",COUNTIF(Componentes!$B:$B,$A91))</f>
        <v/>
      </c>
      <c r="AO91" s="2">
        <f>IF(OR($A91="",$AN91="",$Y91="",$Y91=0),"",ROUND($AN91/$Y91,0))</f>
        <v/>
      </c>
    </row>
    <row r="92">
      <c r="AD92" s="2">
        <f>IF($A92="","",COUNTIFS(Integraciones_Interfaces!$B:$B,$A92,Integraciones_Interfaces!$N:$N,"Activa"))</f>
        <v/>
      </c>
      <c r="AE92" s="2">
        <f>IF($A92="","",COUNTIF(Componentes!$B:$B,$A92))</f>
        <v/>
      </c>
      <c r="AO92" s="2">
        <f>IF(OR($A92="",$AN92="",$Y92="",$Y92=0),"",ROUND($AN92/$Y92,0))</f>
        <v/>
      </c>
    </row>
    <row r="93">
      <c r="AD93" s="2">
        <f>IF($A93="","",COUNTIFS(Integraciones_Interfaces!$B:$B,$A93,Integraciones_Interfaces!$N:$N,"Activa"))</f>
        <v/>
      </c>
      <c r="AE93" s="2">
        <f>IF($A93="","",COUNTIF(Componentes!$B:$B,$A93))</f>
        <v/>
      </c>
      <c r="AO93" s="2">
        <f>IF(OR($A93="",$AN93="",$Y93="",$Y93=0),"",ROUND($AN93/$Y93,0))</f>
        <v/>
      </c>
    </row>
    <row r="94">
      <c r="AD94" s="2">
        <f>IF($A94="","",COUNTIFS(Integraciones_Interfaces!$B:$B,$A94,Integraciones_Interfaces!$N:$N,"Activa"))</f>
        <v/>
      </c>
      <c r="AE94" s="2">
        <f>IF($A94="","",COUNTIF(Componentes!$B:$B,$A94))</f>
        <v/>
      </c>
      <c r="AO94" s="2">
        <f>IF(OR($A94="",$AN94="",$Y94="",$Y94=0),"",ROUND($AN94/$Y94,0))</f>
        <v/>
      </c>
    </row>
    <row r="95">
      <c r="AD95" s="2">
        <f>IF($A95="","",COUNTIFS(Integraciones_Interfaces!$B:$B,$A95,Integraciones_Interfaces!$N:$N,"Activa"))</f>
        <v/>
      </c>
      <c r="AE95" s="2">
        <f>IF($A95="","",COUNTIF(Componentes!$B:$B,$A95))</f>
        <v/>
      </c>
      <c r="AO95" s="2">
        <f>IF(OR($A95="",$AN95="",$Y95="",$Y95=0),"",ROUND($AN95/$Y95,0))</f>
        <v/>
      </c>
    </row>
    <row r="96">
      <c r="AD96" s="2">
        <f>IF($A96="","",COUNTIFS(Integraciones_Interfaces!$B:$B,$A96,Integraciones_Interfaces!$N:$N,"Activa"))</f>
        <v/>
      </c>
      <c r="AE96" s="2">
        <f>IF($A96="","",COUNTIF(Componentes!$B:$B,$A96))</f>
        <v/>
      </c>
      <c r="AO96" s="2">
        <f>IF(OR($A96="",$AN96="",$Y96="",$Y96=0),"",ROUND($AN96/$Y96,0))</f>
        <v/>
      </c>
    </row>
    <row r="97">
      <c r="AD97" s="2">
        <f>IF($A97="","",COUNTIFS(Integraciones_Interfaces!$B:$B,$A97,Integraciones_Interfaces!$N:$N,"Activa"))</f>
        <v/>
      </c>
      <c r="AE97" s="2">
        <f>IF($A97="","",COUNTIF(Componentes!$B:$B,$A97))</f>
        <v/>
      </c>
      <c r="AO97" s="2">
        <f>IF(OR($A97="",$AN97="",$Y97="",$Y97=0),"",ROUND($AN97/$Y97,0))</f>
        <v/>
      </c>
    </row>
    <row r="98">
      <c r="AD98" s="2">
        <f>IF($A98="","",COUNTIFS(Integraciones_Interfaces!$B:$B,$A98,Integraciones_Interfaces!$N:$N,"Activa"))</f>
        <v/>
      </c>
      <c r="AE98" s="2">
        <f>IF($A98="","",COUNTIF(Componentes!$B:$B,$A98))</f>
        <v/>
      </c>
      <c r="AO98" s="2">
        <f>IF(OR($A98="",$AN98="",$Y98="",$Y98=0),"",ROUND($AN98/$Y98,0))</f>
        <v/>
      </c>
    </row>
    <row r="99">
      <c r="AD99" s="2">
        <f>IF($A99="","",COUNTIFS(Integraciones_Interfaces!$B:$B,$A99,Integraciones_Interfaces!$N:$N,"Activa"))</f>
        <v/>
      </c>
      <c r="AE99" s="2">
        <f>IF($A99="","",COUNTIF(Componentes!$B:$B,$A99))</f>
        <v/>
      </c>
      <c r="AO99" s="2">
        <f>IF(OR($A99="",$AN99="",$Y99="",$Y99=0),"",ROUND($AN99/$Y99,0))</f>
        <v/>
      </c>
    </row>
    <row r="100">
      <c r="AD100" s="2">
        <f>IF($A100="","",COUNTIFS(Integraciones_Interfaces!$B:$B,$A100,Integraciones_Interfaces!$N:$N,"Activa"))</f>
        <v/>
      </c>
      <c r="AE100" s="2">
        <f>IF($A100="","",COUNTIF(Componentes!$B:$B,$A100))</f>
        <v/>
      </c>
      <c r="AO100" s="2">
        <f>IF(OR($A100="",$AN100="",$Y100="",$Y100=0),"",ROUND($AN100/$Y100,0))</f>
        <v/>
      </c>
    </row>
    <row r="101">
      <c r="AD101" s="2">
        <f>IF($A101="","",COUNTIFS(Integraciones_Interfaces!$B:$B,$A101,Integraciones_Interfaces!$N:$N,"Activa"))</f>
        <v/>
      </c>
      <c r="AE101" s="2">
        <f>IF($A101="","",COUNTIF(Componentes!$B:$B,$A101))</f>
        <v/>
      </c>
      <c r="AO101" s="2">
        <f>IF(OR($A101="",$AN101="",$Y101="",$Y101=0),"",ROUND($AN101/$Y101,0))</f>
        <v/>
      </c>
    </row>
    <row r="102">
      <c r="AD102" s="2">
        <f>IF($A102="","",COUNTIFS(Integraciones_Interfaces!$B:$B,$A102,Integraciones_Interfaces!$N:$N,"Activa"))</f>
        <v/>
      </c>
      <c r="AE102" s="2">
        <f>IF($A102="","",COUNTIF(Componentes!$B:$B,$A102))</f>
        <v/>
      </c>
      <c r="AO102" s="2">
        <f>IF(OR($A102="",$AN102="",$Y102="",$Y102=0),"",ROUND($AN102/$Y102,0))</f>
        <v/>
      </c>
    </row>
    <row r="103">
      <c r="AD103" s="2">
        <f>IF($A103="","",COUNTIFS(Integraciones_Interfaces!$B:$B,$A103,Integraciones_Interfaces!$N:$N,"Activa"))</f>
        <v/>
      </c>
      <c r="AE103" s="2">
        <f>IF($A103="","",COUNTIF(Componentes!$B:$B,$A103))</f>
        <v/>
      </c>
      <c r="AO103" s="2">
        <f>IF(OR($A103="",$AN103="",$Y103="",$Y103=0),"",ROUND($AN103/$Y103,0))</f>
        <v/>
      </c>
    </row>
    <row r="104">
      <c r="AD104" s="2">
        <f>IF($A104="","",COUNTIFS(Integraciones_Interfaces!$B:$B,$A104,Integraciones_Interfaces!$N:$N,"Activa"))</f>
        <v/>
      </c>
      <c r="AE104" s="2">
        <f>IF($A104="","",COUNTIF(Componentes!$B:$B,$A104))</f>
        <v/>
      </c>
      <c r="AO104" s="2">
        <f>IF(OR($A104="",$AN104="",$Y104="",$Y104=0),"",ROUND($AN104/$Y104,0))</f>
        <v/>
      </c>
    </row>
    <row r="105">
      <c r="AD105" s="2">
        <f>IF($A105="","",COUNTIFS(Integraciones_Interfaces!$B:$B,$A105,Integraciones_Interfaces!$N:$N,"Activa"))</f>
        <v/>
      </c>
      <c r="AE105" s="2">
        <f>IF($A105="","",COUNTIF(Componentes!$B:$B,$A105))</f>
        <v/>
      </c>
      <c r="AO105" s="2">
        <f>IF(OR($A105="",$AN105="",$Y105="",$Y105=0),"",ROUND($AN105/$Y105,0))</f>
        <v/>
      </c>
    </row>
    <row r="106">
      <c r="AD106" s="2">
        <f>IF($A106="","",COUNTIFS(Integraciones_Interfaces!$B:$B,$A106,Integraciones_Interfaces!$N:$N,"Activa"))</f>
        <v/>
      </c>
      <c r="AE106" s="2">
        <f>IF($A106="","",COUNTIF(Componentes!$B:$B,$A106))</f>
        <v/>
      </c>
      <c r="AO106" s="2">
        <f>IF(OR($A106="",$AN106="",$Y106="",$Y106=0),"",ROUND($AN106/$Y106,0))</f>
        <v/>
      </c>
    </row>
    <row r="107">
      <c r="AD107" s="2">
        <f>IF($A107="","",COUNTIFS(Integraciones_Interfaces!$B:$B,$A107,Integraciones_Interfaces!$N:$N,"Activa"))</f>
        <v/>
      </c>
      <c r="AE107" s="2">
        <f>IF($A107="","",COUNTIF(Componentes!$B:$B,$A107))</f>
        <v/>
      </c>
      <c r="AO107" s="2">
        <f>IF(OR($A107="",$AN107="",$Y107="",$Y107=0),"",ROUND($AN107/$Y107,0))</f>
        <v/>
      </c>
    </row>
    <row r="108">
      <c r="AD108" s="2">
        <f>IF($A108="","",COUNTIFS(Integraciones_Interfaces!$B:$B,$A108,Integraciones_Interfaces!$N:$N,"Activa"))</f>
        <v/>
      </c>
      <c r="AE108" s="2">
        <f>IF($A108="","",COUNTIF(Componentes!$B:$B,$A108))</f>
        <v/>
      </c>
      <c r="AO108" s="2">
        <f>IF(OR($A108="",$AN108="",$Y108="",$Y108=0),"",ROUND($AN108/$Y108,0))</f>
        <v/>
      </c>
    </row>
    <row r="109">
      <c r="AD109" s="2">
        <f>IF($A109="","",COUNTIFS(Integraciones_Interfaces!$B:$B,$A109,Integraciones_Interfaces!$N:$N,"Activa"))</f>
        <v/>
      </c>
      <c r="AE109" s="2">
        <f>IF($A109="","",COUNTIF(Componentes!$B:$B,$A109))</f>
        <v/>
      </c>
      <c r="AO109" s="2">
        <f>IF(OR($A109="",$AN109="",$Y109="",$Y109=0),"",ROUND($AN109/$Y109,0))</f>
        <v/>
      </c>
    </row>
    <row r="110">
      <c r="AD110" s="2">
        <f>IF($A110="","",COUNTIFS(Integraciones_Interfaces!$B:$B,$A110,Integraciones_Interfaces!$N:$N,"Activa"))</f>
        <v/>
      </c>
      <c r="AE110" s="2">
        <f>IF($A110="","",COUNTIF(Componentes!$B:$B,$A110))</f>
        <v/>
      </c>
      <c r="AO110" s="2">
        <f>IF(OR($A110="",$AN110="",$Y110="",$Y110=0),"",ROUND($AN110/$Y110,0))</f>
        <v/>
      </c>
    </row>
    <row r="111">
      <c r="AD111" s="2">
        <f>IF($A111="","",COUNTIFS(Integraciones_Interfaces!$B:$B,$A111,Integraciones_Interfaces!$N:$N,"Activa"))</f>
        <v/>
      </c>
      <c r="AE111" s="2">
        <f>IF($A111="","",COUNTIF(Componentes!$B:$B,$A111))</f>
        <v/>
      </c>
      <c r="AO111" s="2">
        <f>IF(OR($A111="",$AN111="",$Y111="",$Y111=0),"",ROUND($AN111/$Y111,0))</f>
        <v/>
      </c>
    </row>
    <row r="112">
      <c r="AD112" s="2">
        <f>IF($A112="","",COUNTIFS(Integraciones_Interfaces!$B:$B,$A112,Integraciones_Interfaces!$N:$N,"Activa"))</f>
        <v/>
      </c>
      <c r="AE112" s="2">
        <f>IF($A112="","",COUNTIF(Componentes!$B:$B,$A112))</f>
        <v/>
      </c>
      <c r="AO112" s="2">
        <f>IF(OR($A112="",$AN112="",$Y112="",$Y112=0),"",ROUND($AN112/$Y112,0))</f>
        <v/>
      </c>
    </row>
    <row r="113">
      <c r="AD113" s="2">
        <f>IF($A113="","",COUNTIFS(Integraciones_Interfaces!$B:$B,$A113,Integraciones_Interfaces!$N:$N,"Activa"))</f>
        <v/>
      </c>
      <c r="AE113" s="2">
        <f>IF($A113="","",COUNTIF(Componentes!$B:$B,$A113))</f>
        <v/>
      </c>
      <c r="AO113" s="2">
        <f>IF(OR($A113="",$AN113="",$Y113="",$Y113=0),"",ROUND($AN113/$Y113,0))</f>
        <v/>
      </c>
    </row>
    <row r="114">
      <c r="AD114" s="2">
        <f>IF($A114="","",COUNTIFS(Integraciones_Interfaces!$B:$B,$A114,Integraciones_Interfaces!$N:$N,"Activa"))</f>
        <v/>
      </c>
      <c r="AE114" s="2">
        <f>IF($A114="","",COUNTIF(Componentes!$B:$B,$A114))</f>
        <v/>
      </c>
      <c r="AO114" s="2">
        <f>IF(OR($A114="",$AN114="",$Y114="",$Y114=0),"",ROUND($AN114/$Y114,0))</f>
        <v/>
      </c>
    </row>
    <row r="115">
      <c r="AD115" s="2">
        <f>IF($A115="","",COUNTIFS(Integraciones_Interfaces!$B:$B,$A115,Integraciones_Interfaces!$N:$N,"Activa"))</f>
        <v/>
      </c>
      <c r="AE115" s="2">
        <f>IF($A115="","",COUNTIF(Componentes!$B:$B,$A115))</f>
        <v/>
      </c>
      <c r="AO115" s="2">
        <f>IF(OR($A115="",$AN115="",$Y115="",$Y115=0),"",ROUND($AN115/$Y115,0))</f>
        <v/>
      </c>
    </row>
    <row r="116">
      <c r="AD116" s="2">
        <f>IF($A116="","",COUNTIFS(Integraciones_Interfaces!$B:$B,$A116,Integraciones_Interfaces!$N:$N,"Activa"))</f>
        <v/>
      </c>
      <c r="AE116" s="2">
        <f>IF($A116="","",COUNTIF(Componentes!$B:$B,$A116))</f>
        <v/>
      </c>
      <c r="AO116" s="2">
        <f>IF(OR($A116="",$AN116="",$Y116="",$Y116=0),"",ROUND($AN116/$Y116,0))</f>
        <v/>
      </c>
    </row>
    <row r="117">
      <c r="AD117" s="2">
        <f>IF($A117="","",COUNTIFS(Integraciones_Interfaces!$B:$B,$A117,Integraciones_Interfaces!$N:$N,"Activa"))</f>
        <v/>
      </c>
      <c r="AE117" s="2">
        <f>IF($A117="","",COUNTIF(Componentes!$B:$B,$A117))</f>
        <v/>
      </c>
      <c r="AO117" s="2">
        <f>IF(OR($A117="",$AN117="",$Y117="",$Y117=0),"",ROUND($AN117/$Y117,0))</f>
        <v/>
      </c>
    </row>
    <row r="118">
      <c r="AD118" s="2">
        <f>IF($A118="","",COUNTIFS(Integraciones_Interfaces!$B:$B,$A118,Integraciones_Interfaces!$N:$N,"Activa"))</f>
        <v/>
      </c>
      <c r="AE118" s="2">
        <f>IF($A118="","",COUNTIF(Componentes!$B:$B,$A118))</f>
        <v/>
      </c>
      <c r="AO118" s="2">
        <f>IF(OR($A118="",$AN118="",$Y118="",$Y118=0),"",ROUND($AN118/$Y118,0))</f>
        <v/>
      </c>
    </row>
    <row r="119">
      <c r="AD119" s="2">
        <f>IF($A119="","",COUNTIFS(Integraciones_Interfaces!$B:$B,$A119,Integraciones_Interfaces!$N:$N,"Activa"))</f>
        <v/>
      </c>
      <c r="AE119" s="2">
        <f>IF($A119="","",COUNTIF(Componentes!$B:$B,$A119))</f>
        <v/>
      </c>
      <c r="AO119" s="2">
        <f>IF(OR($A119="",$AN119="",$Y119="",$Y119=0),"",ROUND($AN119/$Y119,0))</f>
        <v/>
      </c>
    </row>
    <row r="120">
      <c r="AD120" s="2">
        <f>IF($A120="","",COUNTIFS(Integraciones_Interfaces!$B:$B,$A120,Integraciones_Interfaces!$N:$N,"Activa"))</f>
        <v/>
      </c>
      <c r="AE120" s="2">
        <f>IF($A120="","",COUNTIF(Componentes!$B:$B,$A120))</f>
        <v/>
      </c>
      <c r="AO120" s="2">
        <f>IF(OR($A120="",$AN120="",$Y120="",$Y120=0),"",ROUND($AN120/$Y120,0))</f>
        <v/>
      </c>
    </row>
    <row r="121">
      <c r="AD121" s="2">
        <f>IF($A121="","",COUNTIFS(Integraciones_Interfaces!$B:$B,$A121,Integraciones_Interfaces!$N:$N,"Activa"))</f>
        <v/>
      </c>
      <c r="AE121" s="2">
        <f>IF($A121="","",COUNTIF(Componentes!$B:$B,$A121))</f>
        <v/>
      </c>
      <c r="AO121" s="2">
        <f>IF(OR($A121="",$AN121="",$Y121="",$Y121=0),"",ROUND($AN121/$Y121,0))</f>
        <v/>
      </c>
    </row>
    <row r="122">
      <c r="AD122" s="2">
        <f>IF($A122="","",COUNTIFS(Integraciones_Interfaces!$B:$B,$A122,Integraciones_Interfaces!$N:$N,"Activa"))</f>
        <v/>
      </c>
      <c r="AE122" s="2">
        <f>IF($A122="","",COUNTIF(Componentes!$B:$B,$A122))</f>
        <v/>
      </c>
      <c r="AO122" s="2">
        <f>IF(OR($A122="",$AN122="",$Y122="",$Y122=0),"",ROUND($AN122/$Y122,0))</f>
        <v/>
      </c>
    </row>
    <row r="123">
      <c r="AD123" s="2">
        <f>IF($A123="","",COUNTIFS(Integraciones_Interfaces!$B:$B,$A123,Integraciones_Interfaces!$N:$N,"Activa"))</f>
        <v/>
      </c>
      <c r="AE123" s="2">
        <f>IF($A123="","",COUNTIF(Componentes!$B:$B,$A123))</f>
        <v/>
      </c>
      <c r="AO123" s="2">
        <f>IF(OR($A123="",$AN123="",$Y123="",$Y123=0),"",ROUND($AN123/$Y123,0))</f>
        <v/>
      </c>
    </row>
    <row r="124">
      <c r="AD124" s="2">
        <f>IF($A124="","",COUNTIFS(Integraciones_Interfaces!$B:$B,$A124,Integraciones_Interfaces!$N:$N,"Activa"))</f>
        <v/>
      </c>
      <c r="AE124" s="2">
        <f>IF($A124="","",COUNTIF(Componentes!$B:$B,$A124))</f>
        <v/>
      </c>
      <c r="AO124" s="2">
        <f>IF(OR($A124="",$AN124="",$Y124="",$Y124=0),"",ROUND($AN124/$Y124,0))</f>
        <v/>
      </c>
    </row>
    <row r="125">
      <c r="AD125" s="2">
        <f>IF($A125="","",COUNTIFS(Integraciones_Interfaces!$B:$B,$A125,Integraciones_Interfaces!$N:$N,"Activa"))</f>
        <v/>
      </c>
      <c r="AE125" s="2">
        <f>IF($A125="","",COUNTIF(Componentes!$B:$B,$A125))</f>
        <v/>
      </c>
      <c r="AO125" s="2">
        <f>IF(OR($A125="",$AN125="",$Y125="",$Y125=0),"",ROUND($AN125/$Y125,0))</f>
        <v/>
      </c>
    </row>
    <row r="126">
      <c r="AD126" s="2">
        <f>IF($A126="","",COUNTIFS(Integraciones_Interfaces!$B:$B,$A126,Integraciones_Interfaces!$N:$N,"Activa"))</f>
        <v/>
      </c>
      <c r="AE126" s="2">
        <f>IF($A126="","",COUNTIF(Componentes!$B:$B,$A126))</f>
        <v/>
      </c>
      <c r="AO126" s="2">
        <f>IF(OR($A126="",$AN126="",$Y126="",$Y126=0),"",ROUND($AN126/$Y126,0))</f>
        <v/>
      </c>
    </row>
    <row r="127">
      <c r="AD127" s="2">
        <f>IF($A127="","",COUNTIFS(Integraciones_Interfaces!$B:$B,$A127,Integraciones_Interfaces!$N:$N,"Activa"))</f>
        <v/>
      </c>
      <c r="AE127" s="2">
        <f>IF($A127="","",COUNTIF(Componentes!$B:$B,$A127))</f>
        <v/>
      </c>
      <c r="AO127" s="2">
        <f>IF(OR($A127="",$AN127="",$Y127="",$Y127=0),"",ROUND($AN127/$Y127,0))</f>
        <v/>
      </c>
    </row>
    <row r="128">
      <c r="AD128" s="2">
        <f>IF($A128="","",COUNTIFS(Integraciones_Interfaces!$B:$B,$A128,Integraciones_Interfaces!$N:$N,"Activa"))</f>
        <v/>
      </c>
      <c r="AE128" s="2">
        <f>IF($A128="","",COUNTIF(Componentes!$B:$B,$A128))</f>
        <v/>
      </c>
      <c r="AO128" s="2">
        <f>IF(OR($A128="",$AN128="",$Y128="",$Y128=0),"",ROUND($AN128/$Y128,0))</f>
        <v/>
      </c>
    </row>
    <row r="129">
      <c r="AD129" s="2">
        <f>IF($A129="","",COUNTIFS(Integraciones_Interfaces!$B:$B,$A129,Integraciones_Interfaces!$N:$N,"Activa"))</f>
        <v/>
      </c>
      <c r="AE129" s="2">
        <f>IF($A129="","",COUNTIF(Componentes!$B:$B,$A129))</f>
        <v/>
      </c>
      <c r="AO129" s="2">
        <f>IF(OR($A129="",$AN129="",$Y129="",$Y129=0),"",ROUND($AN129/$Y129,0))</f>
        <v/>
      </c>
    </row>
    <row r="130">
      <c r="AD130" s="2">
        <f>IF($A130="","",COUNTIFS(Integraciones_Interfaces!$B:$B,$A130,Integraciones_Interfaces!$N:$N,"Activa"))</f>
        <v/>
      </c>
      <c r="AE130" s="2">
        <f>IF($A130="","",COUNTIF(Componentes!$B:$B,$A130))</f>
        <v/>
      </c>
      <c r="AO130" s="2">
        <f>IF(OR($A130="",$AN130="",$Y130="",$Y130=0),"",ROUND($AN130/$Y130,0))</f>
        <v/>
      </c>
    </row>
    <row r="131">
      <c r="AD131" s="2">
        <f>IF($A131="","",COUNTIFS(Integraciones_Interfaces!$B:$B,$A131,Integraciones_Interfaces!$N:$N,"Activa"))</f>
        <v/>
      </c>
      <c r="AE131" s="2">
        <f>IF($A131="","",COUNTIF(Componentes!$B:$B,$A131))</f>
        <v/>
      </c>
      <c r="AO131" s="2">
        <f>IF(OR($A131="",$AN131="",$Y131="",$Y131=0),"",ROUND($AN131/$Y131,0))</f>
        <v/>
      </c>
    </row>
    <row r="132">
      <c r="AD132" s="2">
        <f>IF($A132="","",COUNTIFS(Integraciones_Interfaces!$B:$B,$A132,Integraciones_Interfaces!$N:$N,"Activa"))</f>
        <v/>
      </c>
      <c r="AE132" s="2">
        <f>IF($A132="","",COUNTIF(Componentes!$B:$B,$A132))</f>
        <v/>
      </c>
      <c r="AO132" s="2">
        <f>IF(OR($A132="",$AN132="",$Y132="",$Y132=0),"",ROUND($AN132/$Y132,0))</f>
        <v/>
      </c>
    </row>
    <row r="133">
      <c r="AD133" s="2">
        <f>IF($A133="","",COUNTIFS(Integraciones_Interfaces!$B:$B,$A133,Integraciones_Interfaces!$N:$N,"Activa"))</f>
        <v/>
      </c>
      <c r="AE133" s="2">
        <f>IF($A133="","",COUNTIF(Componentes!$B:$B,$A133))</f>
        <v/>
      </c>
      <c r="AO133" s="2">
        <f>IF(OR($A133="",$AN133="",$Y133="",$Y133=0),"",ROUND($AN133/$Y133,0))</f>
        <v/>
      </c>
    </row>
    <row r="134">
      <c r="AD134" s="2">
        <f>IF($A134="","",COUNTIFS(Integraciones_Interfaces!$B:$B,$A134,Integraciones_Interfaces!$N:$N,"Activa"))</f>
        <v/>
      </c>
      <c r="AE134" s="2">
        <f>IF($A134="","",COUNTIF(Componentes!$B:$B,$A134))</f>
        <v/>
      </c>
      <c r="AO134" s="2">
        <f>IF(OR($A134="",$AN134="",$Y134="",$Y134=0),"",ROUND($AN134/$Y134,0))</f>
        <v/>
      </c>
    </row>
    <row r="135">
      <c r="AD135" s="2">
        <f>IF($A135="","",COUNTIFS(Integraciones_Interfaces!$B:$B,$A135,Integraciones_Interfaces!$N:$N,"Activa"))</f>
        <v/>
      </c>
      <c r="AE135" s="2">
        <f>IF($A135="","",COUNTIF(Componentes!$B:$B,$A135))</f>
        <v/>
      </c>
      <c r="AO135" s="2">
        <f>IF(OR($A135="",$AN135="",$Y135="",$Y135=0),"",ROUND($AN135/$Y135,0))</f>
        <v/>
      </c>
    </row>
    <row r="136">
      <c r="AD136" s="2">
        <f>IF($A136="","",COUNTIFS(Integraciones_Interfaces!$B:$B,$A136,Integraciones_Interfaces!$N:$N,"Activa"))</f>
        <v/>
      </c>
      <c r="AE136" s="2">
        <f>IF($A136="","",COUNTIF(Componentes!$B:$B,$A136))</f>
        <v/>
      </c>
      <c r="AO136" s="2">
        <f>IF(OR($A136="",$AN136="",$Y136="",$Y136=0),"",ROUND($AN136/$Y136,0))</f>
        <v/>
      </c>
    </row>
    <row r="137">
      <c r="AD137" s="2">
        <f>IF($A137="","",COUNTIFS(Integraciones_Interfaces!$B:$B,$A137,Integraciones_Interfaces!$N:$N,"Activa"))</f>
        <v/>
      </c>
      <c r="AE137" s="2">
        <f>IF($A137="","",COUNTIF(Componentes!$B:$B,$A137))</f>
        <v/>
      </c>
      <c r="AO137" s="2">
        <f>IF(OR($A137="",$AN137="",$Y137="",$Y137=0),"",ROUND($AN137/$Y137,0))</f>
        <v/>
      </c>
    </row>
    <row r="138">
      <c r="AD138" s="2">
        <f>IF($A138="","",COUNTIFS(Integraciones_Interfaces!$B:$B,$A138,Integraciones_Interfaces!$N:$N,"Activa"))</f>
        <v/>
      </c>
      <c r="AE138" s="2">
        <f>IF($A138="","",COUNTIF(Componentes!$B:$B,$A138))</f>
        <v/>
      </c>
      <c r="AO138" s="2">
        <f>IF(OR($A138="",$AN138="",$Y138="",$Y138=0),"",ROUND($AN138/$Y138,0))</f>
        <v/>
      </c>
    </row>
    <row r="139">
      <c r="AD139" s="2">
        <f>IF($A139="","",COUNTIFS(Integraciones_Interfaces!$B:$B,$A139,Integraciones_Interfaces!$N:$N,"Activa"))</f>
        <v/>
      </c>
      <c r="AE139" s="2">
        <f>IF($A139="","",COUNTIF(Componentes!$B:$B,$A139))</f>
        <v/>
      </c>
      <c r="AO139" s="2">
        <f>IF(OR($A139="",$AN139="",$Y139="",$Y139=0),"",ROUND($AN139/$Y139,0))</f>
        <v/>
      </c>
    </row>
    <row r="140">
      <c r="AD140" s="2">
        <f>IF($A140="","",COUNTIFS(Integraciones_Interfaces!$B:$B,$A140,Integraciones_Interfaces!$N:$N,"Activa"))</f>
        <v/>
      </c>
      <c r="AE140" s="2">
        <f>IF($A140="","",COUNTIF(Componentes!$B:$B,$A140))</f>
        <v/>
      </c>
      <c r="AO140" s="2">
        <f>IF(OR($A140="",$AN140="",$Y140="",$Y140=0),"",ROUND($AN140/$Y140,0))</f>
        <v/>
      </c>
    </row>
    <row r="141">
      <c r="AD141" s="2">
        <f>IF($A141="","",COUNTIFS(Integraciones_Interfaces!$B:$B,$A141,Integraciones_Interfaces!$N:$N,"Activa"))</f>
        <v/>
      </c>
      <c r="AE141" s="2">
        <f>IF($A141="","",COUNTIF(Componentes!$B:$B,$A141))</f>
        <v/>
      </c>
      <c r="AO141" s="2">
        <f>IF(OR($A141="",$AN141="",$Y141="",$Y141=0),"",ROUND($AN141/$Y141,0))</f>
        <v/>
      </c>
    </row>
    <row r="142">
      <c r="AD142" s="2">
        <f>IF($A142="","",COUNTIFS(Integraciones_Interfaces!$B:$B,$A142,Integraciones_Interfaces!$N:$N,"Activa"))</f>
        <v/>
      </c>
      <c r="AE142" s="2">
        <f>IF($A142="","",COUNTIF(Componentes!$B:$B,$A142))</f>
        <v/>
      </c>
      <c r="AO142" s="2">
        <f>IF(OR($A142="",$AN142="",$Y142="",$Y142=0),"",ROUND($AN142/$Y142,0))</f>
        <v/>
      </c>
    </row>
    <row r="143">
      <c r="AD143" s="2">
        <f>IF($A143="","",COUNTIFS(Integraciones_Interfaces!$B:$B,$A143,Integraciones_Interfaces!$N:$N,"Activa"))</f>
        <v/>
      </c>
      <c r="AE143" s="2">
        <f>IF($A143="","",COUNTIF(Componentes!$B:$B,$A143))</f>
        <v/>
      </c>
      <c r="AO143" s="2">
        <f>IF(OR($A143="",$AN143="",$Y143="",$Y143=0),"",ROUND($AN143/$Y143,0))</f>
        <v/>
      </c>
    </row>
    <row r="144">
      <c r="AD144" s="2">
        <f>IF($A144="","",COUNTIFS(Integraciones_Interfaces!$B:$B,$A144,Integraciones_Interfaces!$N:$N,"Activa"))</f>
        <v/>
      </c>
      <c r="AE144" s="2">
        <f>IF($A144="","",COUNTIF(Componentes!$B:$B,$A144))</f>
        <v/>
      </c>
      <c r="AO144" s="2">
        <f>IF(OR($A144="",$AN144="",$Y144="",$Y144=0),"",ROUND($AN144/$Y144,0))</f>
        <v/>
      </c>
    </row>
    <row r="145">
      <c r="AD145" s="2">
        <f>IF($A145="","",COUNTIFS(Integraciones_Interfaces!$B:$B,$A145,Integraciones_Interfaces!$N:$N,"Activa"))</f>
        <v/>
      </c>
      <c r="AE145" s="2">
        <f>IF($A145="","",COUNTIF(Componentes!$B:$B,$A145))</f>
        <v/>
      </c>
      <c r="AO145" s="2">
        <f>IF(OR($A145="",$AN145="",$Y145="",$Y145=0),"",ROUND($AN145/$Y145,0))</f>
        <v/>
      </c>
    </row>
    <row r="146">
      <c r="AD146" s="2">
        <f>IF($A146="","",COUNTIFS(Integraciones_Interfaces!$B:$B,$A146,Integraciones_Interfaces!$N:$N,"Activa"))</f>
        <v/>
      </c>
      <c r="AE146" s="2">
        <f>IF($A146="","",COUNTIF(Componentes!$B:$B,$A146))</f>
        <v/>
      </c>
      <c r="AO146" s="2">
        <f>IF(OR($A146="",$AN146="",$Y146="",$Y146=0),"",ROUND($AN146/$Y146,0))</f>
        <v/>
      </c>
    </row>
    <row r="147">
      <c r="AD147" s="2">
        <f>IF($A147="","",COUNTIFS(Integraciones_Interfaces!$B:$B,$A147,Integraciones_Interfaces!$N:$N,"Activa"))</f>
        <v/>
      </c>
      <c r="AE147" s="2">
        <f>IF($A147="","",COUNTIF(Componentes!$B:$B,$A147))</f>
        <v/>
      </c>
      <c r="AO147" s="2">
        <f>IF(OR($A147="",$AN147="",$Y147="",$Y147=0),"",ROUND($AN147/$Y147,0))</f>
        <v/>
      </c>
    </row>
    <row r="148">
      <c r="AD148" s="2">
        <f>IF($A148="","",COUNTIFS(Integraciones_Interfaces!$B:$B,$A148,Integraciones_Interfaces!$N:$N,"Activa"))</f>
        <v/>
      </c>
      <c r="AE148" s="2">
        <f>IF($A148="","",COUNTIF(Componentes!$B:$B,$A148))</f>
        <v/>
      </c>
      <c r="AO148" s="2">
        <f>IF(OR($A148="",$AN148="",$Y148="",$Y148=0),"",ROUND($AN148/$Y148,0))</f>
        <v/>
      </c>
    </row>
    <row r="149">
      <c r="AD149" s="2">
        <f>IF($A149="","",COUNTIFS(Integraciones_Interfaces!$B:$B,$A149,Integraciones_Interfaces!$N:$N,"Activa"))</f>
        <v/>
      </c>
      <c r="AE149" s="2">
        <f>IF($A149="","",COUNTIF(Componentes!$B:$B,$A149))</f>
        <v/>
      </c>
      <c r="AO149" s="2">
        <f>IF(OR($A149="",$AN149="",$Y149="",$Y149=0),"",ROUND($AN149/$Y149,0))</f>
        <v/>
      </c>
    </row>
    <row r="150">
      <c r="AD150" s="2">
        <f>IF($A150="","",COUNTIFS(Integraciones_Interfaces!$B:$B,$A150,Integraciones_Interfaces!$N:$N,"Activa"))</f>
        <v/>
      </c>
      <c r="AE150" s="2">
        <f>IF($A150="","",COUNTIF(Componentes!$B:$B,$A150))</f>
        <v/>
      </c>
      <c r="AO150" s="2">
        <f>IF(OR($A150="",$AN150="",$Y150="",$Y150=0),"",ROUND($AN150/$Y150,0))</f>
        <v/>
      </c>
    </row>
    <row r="151">
      <c r="AD151" s="2">
        <f>IF($A151="","",COUNTIFS(Integraciones_Interfaces!$B:$B,$A151,Integraciones_Interfaces!$N:$N,"Activa"))</f>
        <v/>
      </c>
      <c r="AE151" s="2">
        <f>IF($A151="","",COUNTIF(Componentes!$B:$B,$A151))</f>
        <v/>
      </c>
      <c r="AO151" s="2">
        <f>IF(OR($A151="",$AN151="",$Y151="",$Y151=0),"",ROUND($AN151/$Y151,0))</f>
        <v/>
      </c>
    </row>
    <row r="152">
      <c r="AD152" s="2">
        <f>IF($A152="","",COUNTIFS(Integraciones_Interfaces!$B:$B,$A152,Integraciones_Interfaces!$N:$N,"Activa"))</f>
        <v/>
      </c>
      <c r="AE152" s="2">
        <f>IF($A152="","",COUNTIF(Componentes!$B:$B,$A152))</f>
        <v/>
      </c>
      <c r="AO152" s="2">
        <f>IF(OR($A152="",$AN152="",$Y152="",$Y152=0),"",ROUND($AN152/$Y152,0))</f>
        <v/>
      </c>
    </row>
    <row r="153">
      <c r="AD153" s="2">
        <f>IF($A153="","",COUNTIFS(Integraciones_Interfaces!$B:$B,$A153,Integraciones_Interfaces!$N:$N,"Activa"))</f>
        <v/>
      </c>
      <c r="AE153" s="2">
        <f>IF($A153="","",COUNTIF(Componentes!$B:$B,$A153))</f>
        <v/>
      </c>
      <c r="AO153" s="2">
        <f>IF(OR($A153="",$AN153="",$Y153="",$Y153=0),"",ROUND($AN153/$Y153,0))</f>
        <v/>
      </c>
    </row>
    <row r="154">
      <c r="AD154" s="2">
        <f>IF($A154="","",COUNTIFS(Integraciones_Interfaces!$B:$B,$A154,Integraciones_Interfaces!$N:$N,"Activa"))</f>
        <v/>
      </c>
      <c r="AE154" s="2">
        <f>IF($A154="","",COUNTIF(Componentes!$B:$B,$A154))</f>
        <v/>
      </c>
      <c r="AO154" s="2">
        <f>IF(OR($A154="",$AN154="",$Y154="",$Y154=0),"",ROUND($AN154/$Y154,0))</f>
        <v/>
      </c>
    </row>
    <row r="155">
      <c r="AD155" s="2">
        <f>IF($A155="","",COUNTIFS(Integraciones_Interfaces!$B:$B,$A155,Integraciones_Interfaces!$N:$N,"Activa"))</f>
        <v/>
      </c>
      <c r="AE155" s="2">
        <f>IF($A155="","",COUNTIF(Componentes!$B:$B,$A155))</f>
        <v/>
      </c>
      <c r="AO155" s="2">
        <f>IF(OR($A155="",$AN155="",$Y155="",$Y155=0),"",ROUND($AN155/$Y155,0))</f>
        <v/>
      </c>
    </row>
    <row r="156">
      <c r="AD156" s="2">
        <f>IF($A156="","",COUNTIFS(Integraciones_Interfaces!$B:$B,$A156,Integraciones_Interfaces!$N:$N,"Activa"))</f>
        <v/>
      </c>
      <c r="AE156" s="2">
        <f>IF($A156="","",COUNTIF(Componentes!$B:$B,$A156))</f>
        <v/>
      </c>
      <c r="AO156" s="2">
        <f>IF(OR($A156="",$AN156="",$Y156="",$Y156=0),"",ROUND($AN156/$Y156,0))</f>
        <v/>
      </c>
    </row>
    <row r="157">
      <c r="AD157" s="2">
        <f>IF($A157="","",COUNTIFS(Integraciones_Interfaces!$B:$B,$A157,Integraciones_Interfaces!$N:$N,"Activa"))</f>
        <v/>
      </c>
      <c r="AE157" s="2">
        <f>IF($A157="","",COUNTIF(Componentes!$B:$B,$A157))</f>
        <v/>
      </c>
      <c r="AO157" s="2">
        <f>IF(OR($A157="",$AN157="",$Y157="",$Y157=0),"",ROUND($AN157/$Y157,0))</f>
        <v/>
      </c>
    </row>
    <row r="158">
      <c r="AD158" s="2">
        <f>IF($A158="","",COUNTIFS(Integraciones_Interfaces!$B:$B,$A158,Integraciones_Interfaces!$N:$N,"Activa"))</f>
        <v/>
      </c>
      <c r="AE158" s="2">
        <f>IF($A158="","",COUNTIF(Componentes!$B:$B,$A158))</f>
        <v/>
      </c>
      <c r="AO158" s="2">
        <f>IF(OR($A158="",$AN158="",$Y158="",$Y158=0),"",ROUND($AN158/$Y158,0))</f>
        <v/>
      </c>
    </row>
    <row r="159">
      <c r="AD159" s="2">
        <f>IF($A159="","",COUNTIFS(Integraciones_Interfaces!$B:$B,$A159,Integraciones_Interfaces!$N:$N,"Activa"))</f>
        <v/>
      </c>
      <c r="AE159" s="2">
        <f>IF($A159="","",COUNTIF(Componentes!$B:$B,$A159))</f>
        <v/>
      </c>
      <c r="AO159" s="2">
        <f>IF(OR($A159="",$AN159="",$Y159="",$Y159=0),"",ROUND($AN159/$Y159,0))</f>
        <v/>
      </c>
    </row>
    <row r="160">
      <c r="AD160" s="2">
        <f>IF($A160="","",COUNTIFS(Integraciones_Interfaces!$B:$B,$A160,Integraciones_Interfaces!$N:$N,"Activa"))</f>
        <v/>
      </c>
      <c r="AE160" s="2">
        <f>IF($A160="","",COUNTIF(Componentes!$B:$B,$A160))</f>
        <v/>
      </c>
      <c r="AO160" s="2">
        <f>IF(OR($A160="",$AN160="",$Y160="",$Y160=0),"",ROUND($AN160/$Y160,0))</f>
        <v/>
      </c>
    </row>
    <row r="161">
      <c r="AD161" s="2">
        <f>IF($A161="","",COUNTIFS(Integraciones_Interfaces!$B:$B,$A161,Integraciones_Interfaces!$N:$N,"Activa"))</f>
        <v/>
      </c>
      <c r="AE161" s="2">
        <f>IF($A161="","",COUNTIF(Componentes!$B:$B,$A161))</f>
        <v/>
      </c>
      <c r="AO161" s="2">
        <f>IF(OR($A161="",$AN161="",$Y161="",$Y161=0),"",ROUND($AN161/$Y161,0))</f>
        <v/>
      </c>
    </row>
    <row r="162">
      <c r="AD162" s="2">
        <f>IF($A162="","",COUNTIFS(Integraciones_Interfaces!$B:$B,$A162,Integraciones_Interfaces!$N:$N,"Activa"))</f>
        <v/>
      </c>
      <c r="AE162" s="2">
        <f>IF($A162="","",COUNTIF(Componentes!$B:$B,$A162))</f>
        <v/>
      </c>
      <c r="AO162" s="2">
        <f>IF(OR($A162="",$AN162="",$Y162="",$Y162=0),"",ROUND($AN162/$Y162,0))</f>
        <v/>
      </c>
    </row>
    <row r="163">
      <c r="AD163" s="2">
        <f>IF($A163="","",COUNTIFS(Integraciones_Interfaces!$B:$B,$A163,Integraciones_Interfaces!$N:$N,"Activa"))</f>
        <v/>
      </c>
      <c r="AE163" s="2">
        <f>IF($A163="","",COUNTIF(Componentes!$B:$B,$A163))</f>
        <v/>
      </c>
      <c r="AO163" s="2">
        <f>IF(OR($A163="",$AN163="",$Y163="",$Y163=0),"",ROUND($AN163/$Y163,0))</f>
        <v/>
      </c>
    </row>
    <row r="164">
      <c r="AD164" s="2">
        <f>IF($A164="","",COUNTIFS(Integraciones_Interfaces!$B:$B,$A164,Integraciones_Interfaces!$N:$N,"Activa"))</f>
        <v/>
      </c>
      <c r="AE164" s="2">
        <f>IF($A164="","",COUNTIF(Componentes!$B:$B,$A164))</f>
        <v/>
      </c>
      <c r="AO164" s="2">
        <f>IF(OR($A164="",$AN164="",$Y164="",$Y164=0),"",ROUND($AN164/$Y164,0))</f>
        <v/>
      </c>
    </row>
    <row r="165">
      <c r="AD165" s="2">
        <f>IF($A165="","",COUNTIFS(Integraciones_Interfaces!$B:$B,$A165,Integraciones_Interfaces!$N:$N,"Activa"))</f>
        <v/>
      </c>
      <c r="AE165" s="2">
        <f>IF($A165="","",COUNTIF(Componentes!$B:$B,$A165))</f>
        <v/>
      </c>
      <c r="AO165" s="2">
        <f>IF(OR($A165="",$AN165="",$Y165="",$Y165=0),"",ROUND($AN165/$Y165,0))</f>
        <v/>
      </c>
    </row>
    <row r="166">
      <c r="AD166" s="2">
        <f>IF($A166="","",COUNTIFS(Integraciones_Interfaces!$B:$B,$A166,Integraciones_Interfaces!$N:$N,"Activa"))</f>
        <v/>
      </c>
      <c r="AE166" s="2">
        <f>IF($A166="","",COUNTIF(Componentes!$B:$B,$A166))</f>
        <v/>
      </c>
      <c r="AO166" s="2">
        <f>IF(OR($A166="",$AN166="",$Y166="",$Y166=0),"",ROUND($AN166/$Y166,0))</f>
        <v/>
      </c>
    </row>
    <row r="167">
      <c r="AD167" s="2">
        <f>IF($A167="","",COUNTIFS(Integraciones_Interfaces!$B:$B,$A167,Integraciones_Interfaces!$N:$N,"Activa"))</f>
        <v/>
      </c>
      <c r="AE167" s="2">
        <f>IF($A167="","",COUNTIF(Componentes!$B:$B,$A167))</f>
        <v/>
      </c>
      <c r="AO167" s="2">
        <f>IF(OR($A167="",$AN167="",$Y167="",$Y167=0),"",ROUND($AN167/$Y167,0))</f>
        <v/>
      </c>
    </row>
    <row r="168">
      <c r="AD168" s="2">
        <f>IF($A168="","",COUNTIFS(Integraciones_Interfaces!$B:$B,$A168,Integraciones_Interfaces!$N:$N,"Activa"))</f>
        <v/>
      </c>
      <c r="AE168" s="2">
        <f>IF($A168="","",COUNTIF(Componentes!$B:$B,$A168))</f>
        <v/>
      </c>
      <c r="AO168" s="2">
        <f>IF(OR($A168="",$AN168="",$Y168="",$Y168=0),"",ROUND($AN168/$Y168,0))</f>
        <v/>
      </c>
    </row>
    <row r="169">
      <c r="AD169" s="2">
        <f>IF($A169="","",COUNTIFS(Integraciones_Interfaces!$B:$B,$A169,Integraciones_Interfaces!$N:$N,"Activa"))</f>
        <v/>
      </c>
      <c r="AE169" s="2">
        <f>IF($A169="","",COUNTIF(Componentes!$B:$B,$A169))</f>
        <v/>
      </c>
      <c r="AO169" s="2">
        <f>IF(OR($A169="",$AN169="",$Y169="",$Y169=0),"",ROUND($AN169/$Y169,0))</f>
        <v/>
      </c>
    </row>
    <row r="170">
      <c r="AD170" s="2">
        <f>IF($A170="","",COUNTIFS(Integraciones_Interfaces!$B:$B,$A170,Integraciones_Interfaces!$N:$N,"Activa"))</f>
        <v/>
      </c>
      <c r="AE170" s="2">
        <f>IF($A170="","",COUNTIF(Componentes!$B:$B,$A170))</f>
        <v/>
      </c>
      <c r="AO170" s="2">
        <f>IF(OR($A170="",$AN170="",$Y170="",$Y170=0),"",ROUND($AN170/$Y170,0))</f>
        <v/>
      </c>
    </row>
    <row r="171">
      <c r="AD171" s="2">
        <f>IF($A171="","",COUNTIFS(Integraciones_Interfaces!$B:$B,$A171,Integraciones_Interfaces!$N:$N,"Activa"))</f>
        <v/>
      </c>
      <c r="AE171" s="2">
        <f>IF($A171="","",COUNTIF(Componentes!$B:$B,$A171))</f>
        <v/>
      </c>
      <c r="AO171" s="2">
        <f>IF(OR($A171="",$AN171="",$Y171="",$Y171=0),"",ROUND($AN171/$Y171,0))</f>
        <v/>
      </c>
    </row>
    <row r="172">
      <c r="AD172" s="2">
        <f>IF($A172="","",COUNTIFS(Integraciones_Interfaces!$B:$B,$A172,Integraciones_Interfaces!$N:$N,"Activa"))</f>
        <v/>
      </c>
      <c r="AE172" s="2">
        <f>IF($A172="","",COUNTIF(Componentes!$B:$B,$A172))</f>
        <v/>
      </c>
      <c r="AO172" s="2">
        <f>IF(OR($A172="",$AN172="",$Y172="",$Y172=0),"",ROUND($AN172/$Y172,0))</f>
        <v/>
      </c>
    </row>
    <row r="173">
      <c r="AD173" s="2">
        <f>IF($A173="","",COUNTIFS(Integraciones_Interfaces!$B:$B,$A173,Integraciones_Interfaces!$N:$N,"Activa"))</f>
        <v/>
      </c>
      <c r="AE173" s="2">
        <f>IF($A173="","",COUNTIF(Componentes!$B:$B,$A173))</f>
        <v/>
      </c>
      <c r="AO173" s="2">
        <f>IF(OR($A173="",$AN173="",$Y173="",$Y173=0),"",ROUND($AN173/$Y173,0))</f>
        <v/>
      </c>
    </row>
    <row r="174">
      <c r="AD174" s="2">
        <f>IF($A174="","",COUNTIFS(Integraciones_Interfaces!$B:$B,$A174,Integraciones_Interfaces!$N:$N,"Activa"))</f>
        <v/>
      </c>
      <c r="AE174" s="2">
        <f>IF($A174="","",COUNTIF(Componentes!$B:$B,$A174))</f>
        <v/>
      </c>
      <c r="AO174" s="2">
        <f>IF(OR($A174="",$AN174="",$Y174="",$Y174=0),"",ROUND($AN174/$Y174,0))</f>
        <v/>
      </c>
    </row>
    <row r="175">
      <c r="AD175" s="2">
        <f>IF($A175="","",COUNTIFS(Integraciones_Interfaces!$B:$B,$A175,Integraciones_Interfaces!$N:$N,"Activa"))</f>
        <v/>
      </c>
      <c r="AE175" s="2">
        <f>IF($A175="","",COUNTIF(Componentes!$B:$B,$A175))</f>
        <v/>
      </c>
      <c r="AO175" s="2">
        <f>IF(OR($A175="",$AN175="",$Y175="",$Y175=0),"",ROUND($AN175/$Y175,0))</f>
        <v/>
      </c>
    </row>
    <row r="176">
      <c r="AD176" s="2">
        <f>IF($A176="","",COUNTIFS(Integraciones_Interfaces!$B:$B,$A176,Integraciones_Interfaces!$N:$N,"Activa"))</f>
        <v/>
      </c>
      <c r="AE176" s="2">
        <f>IF($A176="","",COUNTIF(Componentes!$B:$B,$A176))</f>
        <v/>
      </c>
      <c r="AO176" s="2">
        <f>IF(OR($A176="",$AN176="",$Y176="",$Y176=0),"",ROUND($AN176/$Y176,0))</f>
        <v/>
      </c>
    </row>
    <row r="177">
      <c r="AD177" s="2">
        <f>IF($A177="","",COUNTIFS(Integraciones_Interfaces!$B:$B,$A177,Integraciones_Interfaces!$N:$N,"Activa"))</f>
        <v/>
      </c>
      <c r="AE177" s="2">
        <f>IF($A177="","",COUNTIF(Componentes!$B:$B,$A177))</f>
        <v/>
      </c>
      <c r="AO177" s="2">
        <f>IF(OR($A177="",$AN177="",$Y177="",$Y177=0),"",ROUND($AN177/$Y177,0))</f>
        <v/>
      </c>
    </row>
    <row r="178">
      <c r="AD178" s="2">
        <f>IF($A178="","",COUNTIFS(Integraciones_Interfaces!$B:$B,$A178,Integraciones_Interfaces!$N:$N,"Activa"))</f>
        <v/>
      </c>
      <c r="AE178" s="2">
        <f>IF($A178="","",COUNTIF(Componentes!$B:$B,$A178))</f>
        <v/>
      </c>
      <c r="AO178" s="2">
        <f>IF(OR($A178="",$AN178="",$Y178="",$Y178=0),"",ROUND($AN178/$Y178,0))</f>
        <v/>
      </c>
    </row>
    <row r="179">
      <c r="AD179" s="2">
        <f>IF($A179="","",COUNTIFS(Integraciones_Interfaces!$B:$B,$A179,Integraciones_Interfaces!$N:$N,"Activa"))</f>
        <v/>
      </c>
      <c r="AE179" s="2">
        <f>IF($A179="","",COUNTIF(Componentes!$B:$B,$A179))</f>
        <v/>
      </c>
      <c r="AO179" s="2">
        <f>IF(OR($A179="",$AN179="",$Y179="",$Y179=0),"",ROUND($AN179/$Y179,0))</f>
        <v/>
      </c>
    </row>
    <row r="180">
      <c r="AD180" s="2">
        <f>IF($A180="","",COUNTIFS(Integraciones_Interfaces!$B:$B,$A180,Integraciones_Interfaces!$N:$N,"Activa"))</f>
        <v/>
      </c>
      <c r="AE180" s="2">
        <f>IF($A180="","",COUNTIF(Componentes!$B:$B,$A180))</f>
        <v/>
      </c>
      <c r="AO180" s="2">
        <f>IF(OR($A180="",$AN180="",$Y180="",$Y180=0),"",ROUND($AN180/$Y180,0))</f>
        <v/>
      </c>
    </row>
    <row r="181">
      <c r="AD181" s="2">
        <f>IF($A181="","",COUNTIFS(Integraciones_Interfaces!$B:$B,$A181,Integraciones_Interfaces!$N:$N,"Activa"))</f>
        <v/>
      </c>
      <c r="AE181" s="2">
        <f>IF($A181="","",COUNTIF(Componentes!$B:$B,$A181))</f>
        <v/>
      </c>
      <c r="AO181" s="2">
        <f>IF(OR($A181="",$AN181="",$Y181="",$Y181=0),"",ROUND($AN181/$Y181,0))</f>
        <v/>
      </c>
    </row>
    <row r="182">
      <c r="AD182" s="2">
        <f>IF($A182="","",COUNTIFS(Integraciones_Interfaces!$B:$B,$A182,Integraciones_Interfaces!$N:$N,"Activa"))</f>
        <v/>
      </c>
      <c r="AE182" s="2">
        <f>IF($A182="","",COUNTIF(Componentes!$B:$B,$A182))</f>
        <v/>
      </c>
      <c r="AO182" s="2">
        <f>IF(OR($A182="",$AN182="",$Y182="",$Y182=0),"",ROUND($AN182/$Y182,0))</f>
        <v/>
      </c>
    </row>
    <row r="183">
      <c r="AD183" s="2">
        <f>IF($A183="","",COUNTIFS(Integraciones_Interfaces!$B:$B,$A183,Integraciones_Interfaces!$N:$N,"Activa"))</f>
        <v/>
      </c>
      <c r="AE183" s="2">
        <f>IF($A183="","",COUNTIF(Componentes!$B:$B,$A183))</f>
        <v/>
      </c>
      <c r="AO183" s="2">
        <f>IF(OR($A183="",$AN183="",$Y183="",$Y183=0),"",ROUND($AN183/$Y183,0))</f>
        <v/>
      </c>
    </row>
    <row r="184">
      <c r="AD184" s="2">
        <f>IF($A184="","",COUNTIFS(Integraciones_Interfaces!$B:$B,$A184,Integraciones_Interfaces!$N:$N,"Activa"))</f>
        <v/>
      </c>
      <c r="AE184" s="2">
        <f>IF($A184="","",COUNTIF(Componentes!$B:$B,$A184))</f>
        <v/>
      </c>
      <c r="AO184" s="2">
        <f>IF(OR($A184="",$AN184="",$Y184="",$Y184=0),"",ROUND($AN184/$Y184,0))</f>
        <v/>
      </c>
    </row>
    <row r="185">
      <c r="AD185" s="2">
        <f>IF($A185="","",COUNTIFS(Integraciones_Interfaces!$B:$B,$A185,Integraciones_Interfaces!$N:$N,"Activa"))</f>
        <v/>
      </c>
      <c r="AE185" s="2">
        <f>IF($A185="","",COUNTIF(Componentes!$B:$B,$A185))</f>
        <v/>
      </c>
      <c r="AO185" s="2">
        <f>IF(OR($A185="",$AN185="",$Y185="",$Y185=0),"",ROUND($AN185/$Y185,0))</f>
        <v/>
      </c>
    </row>
    <row r="186">
      <c r="AD186" s="2">
        <f>IF($A186="","",COUNTIFS(Integraciones_Interfaces!$B:$B,$A186,Integraciones_Interfaces!$N:$N,"Activa"))</f>
        <v/>
      </c>
      <c r="AE186" s="2">
        <f>IF($A186="","",COUNTIF(Componentes!$B:$B,$A186))</f>
        <v/>
      </c>
      <c r="AO186" s="2">
        <f>IF(OR($A186="",$AN186="",$Y186="",$Y186=0),"",ROUND($AN186/$Y186,0))</f>
        <v/>
      </c>
    </row>
    <row r="187">
      <c r="AD187" s="2">
        <f>IF($A187="","",COUNTIFS(Integraciones_Interfaces!$B:$B,$A187,Integraciones_Interfaces!$N:$N,"Activa"))</f>
        <v/>
      </c>
      <c r="AE187" s="2">
        <f>IF($A187="","",COUNTIF(Componentes!$B:$B,$A187))</f>
        <v/>
      </c>
      <c r="AO187" s="2">
        <f>IF(OR($A187="",$AN187="",$Y187="",$Y187=0),"",ROUND($AN187/$Y187,0))</f>
        <v/>
      </c>
    </row>
    <row r="188">
      <c r="AD188" s="2">
        <f>IF($A188="","",COUNTIFS(Integraciones_Interfaces!$B:$B,$A188,Integraciones_Interfaces!$N:$N,"Activa"))</f>
        <v/>
      </c>
      <c r="AE188" s="2">
        <f>IF($A188="","",COUNTIF(Componentes!$B:$B,$A188))</f>
        <v/>
      </c>
      <c r="AO188" s="2">
        <f>IF(OR($A188="",$AN188="",$Y188="",$Y188=0),"",ROUND($AN188/$Y188,0))</f>
        <v/>
      </c>
    </row>
    <row r="189">
      <c r="AD189" s="2">
        <f>IF($A189="","",COUNTIFS(Integraciones_Interfaces!$B:$B,$A189,Integraciones_Interfaces!$N:$N,"Activa"))</f>
        <v/>
      </c>
      <c r="AE189" s="2">
        <f>IF($A189="","",COUNTIF(Componentes!$B:$B,$A189))</f>
        <v/>
      </c>
      <c r="AO189" s="2">
        <f>IF(OR($A189="",$AN189="",$Y189="",$Y189=0),"",ROUND($AN189/$Y189,0))</f>
        <v/>
      </c>
    </row>
    <row r="190">
      <c r="AD190" s="2">
        <f>IF($A190="","",COUNTIFS(Integraciones_Interfaces!$B:$B,$A190,Integraciones_Interfaces!$N:$N,"Activa"))</f>
        <v/>
      </c>
      <c r="AE190" s="2">
        <f>IF($A190="","",COUNTIF(Componentes!$B:$B,$A190))</f>
        <v/>
      </c>
      <c r="AO190" s="2">
        <f>IF(OR($A190="",$AN190="",$Y190="",$Y190=0),"",ROUND($AN190/$Y190,0))</f>
        <v/>
      </c>
    </row>
    <row r="191">
      <c r="AD191" s="2">
        <f>IF($A191="","",COUNTIFS(Integraciones_Interfaces!$B:$B,$A191,Integraciones_Interfaces!$N:$N,"Activa"))</f>
        <v/>
      </c>
      <c r="AE191" s="2">
        <f>IF($A191="","",COUNTIF(Componentes!$B:$B,$A191))</f>
        <v/>
      </c>
      <c r="AO191" s="2">
        <f>IF(OR($A191="",$AN191="",$Y191="",$Y191=0),"",ROUND($AN191/$Y191,0))</f>
        <v/>
      </c>
    </row>
    <row r="192">
      <c r="AD192" s="2">
        <f>IF($A192="","",COUNTIFS(Integraciones_Interfaces!$B:$B,$A192,Integraciones_Interfaces!$N:$N,"Activa"))</f>
        <v/>
      </c>
      <c r="AE192" s="2">
        <f>IF($A192="","",COUNTIF(Componentes!$B:$B,$A192))</f>
        <v/>
      </c>
      <c r="AO192" s="2">
        <f>IF(OR($A192="",$AN192="",$Y192="",$Y192=0),"",ROUND($AN192/$Y192,0))</f>
        <v/>
      </c>
    </row>
    <row r="193">
      <c r="AD193" s="2">
        <f>IF($A193="","",COUNTIFS(Integraciones_Interfaces!$B:$B,$A193,Integraciones_Interfaces!$N:$N,"Activa"))</f>
        <v/>
      </c>
      <c r="AE193" s="2">
        <f>IF($A193="","",COUNTIF(Componentes!$B:$B,$A193))</f>
        <v/>
      </c>
      <c r="AO193" s="2">
        <f>IF(OR($A193="",$AN193="",$Y193="",$Y193=0),"",ROUND($AN193/$Y193,0))</f>
        <v/>
      </c>
    </row>
    <row r="194">
      <c r="AD194" s="2">
        <f>IF($A194="","",COUNTIFS(Integraciones_Interfaces!$B:$B,$A194,Integraciones_Interfaces!$N:$N,"Activa"))</f>
        <v/>
      </c>
      <c r="AE194" s="2">
        <f>IF($A194="","",COUNTIF(Componentes!$B:$B,$A194))</f>
        <v/>
      </c>
      <c r="AO194" s="2">
        <f>IF(OR($A194="",$AN194="",$Y194="",$Y194=0),"",ROUND($AN194/$Y194,0))</f>
        <v/>
      </c>
    </row>
    <row r="195">
      <c r="AD195" s="2">
        <f>IF($A195="","",COUNTIFS(Integraciones_Interfaces!$B:$B,$A195,Integraciones_Interfaces!$N:$N,"Activa"))</f>
        <v/>
      </c>
      <c r="AE195" s="2">
        <f>IF($A195="","",COUNTIF(Componentes!$B:$B,$A195))</f>
        <v/>
      </c>
      <c r="AO195" s="2">
        <f>IF(OR($A195="",$AN195="",$Y195="",$Y195=0),"",ROUND($AN195/$Y195,0))</f>
        <v/>
      </c>
    </row>
    <row r="196">
      <c r="AD196" s="2">
        <f>IF($A196="","",COUNTIFS(Integraciones_Interfaces!$B:$B,$A196,Integraciones_Interfaces!$N:$N,"Activa"))</f>
        <v/>
      </c>
      <c r="AE196" s="2">
        <f>IF($A196="","",COUNTIF(Componentes!$B:$B,$A196))</f>
        <v/>
      </c>
      <c r="AO196" s="2">
        <f>IF(OR($A196="",$AN196="",$Y196="",$Y196=0),"",ROUND($AN196/$Y196,0))</f>
        <v/>
      </c>
    </row>
    <row r="197">
      <c r="AD197" s="2">
        <f>IF($A197="","",COUNTIFS(Integraciones_Interfaces!$B:$B,$A197,Integraciones_Interfaces!$N:$N,"Activa"))</f>
        <v/>
      </c>
      <c r="AE197" s="2">
        <f>IF($A197="","",COUNTIF(Componentes!$B:$B,$A197))</f>
        <v/>
      </c>
      <c r="AO197" s="2">
        <f>IF(OR($A197="",$AN197="",$Y197="",$Y197=0),"",ROUND($AN197/$Y197,0))</f>
        <v/>
      </c>
    </row>
    <row r="198">
      <c r="AD198" s="2">
        <f>IF($A198="","",COUNTIFS(Integraciones_Interfaces!$B:$B,$A198,Integraciones_Interfaces!$N:$N,"Activa"))</f>
        <v/>
      </c>
      <c r="AE198" s="2">
        <f>IF($A198="","",COUNTIF(Componentes!$B:$B,$A198))</f>
        <v/>
      </c>
      <c r="AO198" s="2">
        <f>IF(OR($A198="",$AN198="",$Y198="",$Y198=0),"",ROUND($AN198/$Y198,0))</f>
        <v/>
      </c>
    </row>
    <row r="199">
      <c r="AD199" s="2">
        <f>IF($A199="","",COUNTIFS(Integraciones_Interfaces!$B:$B,$A199,Integraciones_Interfaces!$N:$N,"Activa"))</f>
        <v/>
      </c>
      <c r="AE199" s="2">
        <f>IF($A199="","",COUNTIF(Componentes!$B:$B,$A199))</f>
        <v/>
      </c>
      <c r="AO199" s="2">
        <f>IF(OR($A199="",$AN199="",$Y199="",$Y199=0),"",ROUND($AN199/$Y199,0))</f>
        <v/>
      </c>
    </row>
    <row r="200">
      <c r="AD200" s="2">
        <f>IF($A200="","",COUNTIFS(Integraciones_Interfaces!$B:$B,$A200,Integraciones_Interfaces!$N:$N,"Activa"))</f>
        <v/>
      </c>
      <c r="AE200" s="2">
        <f>IF($A200="","",COUNTIF(Componentes!$B:$B,$A200))</f>
        <v/>
      </c>
      <c r="AO200" s="2">
        <f>IF(OR($A200="",$AN200="",$Y200="",$Y200=0),"",ROUND($AN200/$Y200,0))</f>
        <v/>
      </c>
    </row>
    <row r="201">
      <c r="AD201" s="2">
        <f>IF($A201="","",COUNTIFS(Integraciones_Interfaces!$B:$B,$A201,Integraciones_Interfaces!$N:$N,"Activa"))</f>
        <v/>
      </c>
      <c r="AE201" s="2">
        <f>IF($A201="","",COUNTIF(Componentes!$B:$B,$A201))</f>
        <v/>
      </c>
      <c r="AO201" s="2">
        <f>IF(OR($A201="",$AN201="",$Y201="",$Y201=0),"",ROUND($AN201/$Y201,0))</f>
        <v/>
      </c>
    </row>
    <row r="202">
      <c r="AD202" s="2">
        <f>IF($A202="","",COUNTIFS(Integraciones_Interfaces!$B:$B,$A202,Integraciones_Interfaces!$N:$N,"Activa"))</f>
        <v/>
      </c>
      <c r="AE202" s="2">
        <f>IF($A202="","",COUNTIF(Componentes!$B:$B,$A202))</f>
        <v/>
      </c>
      <c r="AO202" s="2">
        <f>IF(OR($A202="",$AN202="",$Y202="",$Y202=0),"",ROUND($AN202/$Y202,0))</f>
        <v/>
      </c>
    </row>
    <row r="203">
      <c r="AD203" s="2">
        <f>IF($A203="","",COUNTIFS(Integraciones_Interfaces!$B:$B,$A203,Integraciones_Interfaces!$N:$N,"Activa"))</f>
        <v/>
      </c>
      <c r="AE203" s="2">
        <f>IF($A203="","",COUNTIF(Componentes!$B:$B,$A203))</f>
        <v/>
      </c>
      <c r="AO203" s="2">
        <f>IF(OR($A203="",$AN203="",$Y203="",$Y203=0),"",ROUND($AN203/$Y203,0))</f>
        <v/>
      </c>
    </row>
    <row r="204">
      <c r="AD204" s="2">
        <f>IF($A204="","",COUNTIFS(Integraciones_Interfaces!$B:$B,$A204,Integraciones_Interfaces!$N:$N,"Activa"))</f>
        <v/>
      </c>
      <c r="AE204" s="2">
        <f>IF($A204="","",COUNTIF(Componentes!$B:$B,$A204))</f>
        <v/>
      </c>
      <c r="AO204" s="2">
        <f>IF(OR($A204="",$AN204="",$Y204="",$Y204=0),"",ROUND($AN204/$Y204,0))</f>
        <v/>
      </c>
    </row>
    <row r="205">
      <c r="AD205" s="2">
        <f>IF($A205="","",COUNTIFS(Integraciones_Interfaces!$B:$B,$A205,Integraciones_Interfaces!$N:$N,"Activa"))</f>
        <v/>
      </c>
      <c r="AE205" s="2">
        <f>IF($A205="","",COUNTIF(Componentes!$B:$B,$A205))</f>
        <v/>
      </c>
      <c r="AO205" s="2">
        <f>IF(OR($A205="",$AN205="",$Y205="",$Y205=0),"",ROUND($AN205/$Y205,0))</f>
        <v/>
      </c>
    </row>
    <row r="206">
      <c r="AD206" s="2">
        <f>IF($A206="","",COUNTIFS(Integraciones_Interfaces!$B:$B,$A206,Integraciones_Interfaces!$N:$N,"Activa"))</f>
        <v/>
      </c>
      <c r="AE206" s="2">
        <f>IF($A206="","",COUNTIF(Componentes!$B:$B,$A206))</f>
        <v/>
      </c>
      <c r="AO206" s="2">
        <f>IF(OR($A206="",$AN206="",$Y206="",$Y206=0),"",ROUND($AN206/$Y206,0))</f>
        <v/>
      </c>
    </row>
    <row r="207">
      <c r="AD207" s="2">
        <f>IF($A207="","",COUNTIFS(Integraciones_Interfaces!$B:$B,$A207,Integraciones_Interfaces!$N:$N,"Activa"))</f>
        <v/>
      </c>
      <c r="AE207" s="2">
        <f>IF($A207="","",COUNTIF(Componentes!$B:$B,$A207))</f>
        <v/>
      </c>
      <c r="AO207" s="2">
        <f>IF(OR($A207="",$AN207="",$Y207="",$Y207=0),"",ROUND($AN207/$Y207,0))</f>
        <v/>
      </c>
    </row>
    <row r="208">
      <c r="AD208" s="2">
        <f>IF($A208="","",COUNTIFS(Integraciones_Interfaces!$B:$B,$A208,Integraciones_Interfaces!$N:$N,"Activa"))</f>
        <v/>
      </c>
      <c r="AE208" s="2">
        <f>IF($A208="","",COUNTIF(Componentes!$B:$B,$A208))</f>
        <v/>
      </c>
      <c r="AO208" s="2">
        <f>IF(OR($A208="",$AN208="",$Y208="",$Y208=0),"",ROUND($AN208/$Y208,0))</f>
        <v/>
      </c>
    </row>
    <row r="209">
      <c r="AD209" s="2">
        <f>IF($A209="","",COUNTIFS(Integraciones_Interfaces!$B:$B,$A209,Integraciones_Interfaces!$N:$N,"Activa"))</f>
        <v/>
      </c>
      <c r="AE209" s="2">
        <f>IF($A209="","",COUNTIF(Componentes!$B:$B,$A209))</f>
        <v/>
      </c>
      <c r="AO209" s="2">
        <f>IF(OR($A209="",$AN209="",$Y209="",$Y209=0),"",ROUND($AN209/$Y209,0))</f>
        <v/>
      </c>
    </row>
    <row r="210">
      <c r="AD210" s="2">
        <f>IF($A210="","",COUNTIFS(Integraciones_Interfaces!$B:$B,$A210,Integraciones_Interfaces!$N:$N,"Activa"))</f>
        <v/>
      </c>
      <c r="AE210" s="2">
        <f>IF($A210="","",COUNTIF(Componentes!$B:$B,$A210))</f>
        <v/>
      </c>
      <c r="AO210" s="2">
        <f>IF(OR($A210="",$AN210="",$Y210="",$Y210=0),"",ROUND($AN210/$Y210,0))</f>
        <v/>
      </c>
    </row>
    <row r="211">
      <c r="AD211" s="2">
        <f>IF($A211="","",COUNTIFS(Integraciones_Interfaces!$B:$B,$A211,Integraciones_Interfaces!$N:$N,"Activa"))</f>
        <v/>
      </c>
      <c r="AE211" s="2">
        <f>IF($A211="","",COUNTIF(Componentes!$B:$B,$A211))</f>
        <v/>
      </c>
      <c r="AO211" s="2">
        <f>IF(OR($A211="",$AN211="",$Y211="",$Y211=0),"",ROUND($AN211/$Y211,0))</f>
        <v/>
      </c>
    </row>
    <row r="212">
      <c r="AD212" s="2">
        <f>IF($A212="","",COUNTIFS(Integraciones_Interfaces!$B:$B,$A212,Integraciones_Interfaces!$N:$N,"Activa"))</f>
        <v/>
      </c>
      <c r="AE212" s="2">
        <f>IF($A212="","",COUNTIF(Componentes!$B:$B,$A212))</f>
        <v/>
      </c>
      <c r="AO212" s="2">
        <f>IF(OR($A212="",$AN212="",$Y212="",$Y212=0),"",ROUND($AN212/$Y212,0))</f>
        <v/>
      </c>
    </row>
    <row r="213">
      <c r="AD213" s="2">
        <f>IF($A213="","",COUNTIFS(Integraciones_Interfaces!$B:$B,$A213,Integraciones_Interfaces!$N:$N,"Activa"))</f>
        <v/>
      </c>
      <c r="AE213" s="2">
        <f>IF($A213="","",COUNTIF(Componentes!$B:$B,$A213))</f>
        <v/>
      </c>
      <c r="AO213" s="2">
        <f>IF(OR($A213="",$AN213="",$Y213="",$Y213=0),"",ROUND($AN213/$Y213,0))</f>
        <v/>
      </c>
    </row>
    <row r="214">
      <c r="AD214" s="2">
        <f>IF($A214="","",COUNTIFS(Integraciones_Interfaces!$B:$B,$A214,Integraciones_Interfaces!$N:$N,"Activa"))</f>
        <v/>
      </c>
      <c r="AE214" s="2">
        <f>IF($A214="","",COUNTIF(Componentes!$B:$B,$A214))</f>
        <v/>
      </c>
      <c r="AO214" s="2">
        <f>IF(OR($A214="",$AN214="",$Y214="",$Y214=0),"",ROUND($AN214/$Y214,0))</f>
        <v/>
      </c>
    </row>
    <row r="215">
      <c r="AD215" s="2">
        <f>IF($A215="","",COUNTIFS(Integraciones_Interfaces!$B:$B,$A215,Integraciones_Interfaces!$N:$N,"Activa"))</f>
        <v/>
      </c>
      <c r="AE215" s="2">
        <f>IF($A215="","",COUNTIF(Componentes!$B:$B,$A215))</f>
        <v/>
      </c>
      <c r="AO215" s="2">
        <f>IF(OR($A215="",$AN215="",$Y215="",$Y215=0),"",ROUND($AN215/$Y215,0))</f>
        <v/>
      </c>
    </row>
    <row r="216">
      <c r="AD216" s="2">
        <f>IF($A216="","",COUNTIFS(Integraciones_Interfaces!$B:$B,$A216,Integraciones_Interfaces!$N:$N,"Activa"))</f>
        <v/>
      </c>
      <c r="AE216" s="2">
        <f>IF($A216="","",COUNTIF(Componentes!$B:$B,$A216))</f>
        <v/>
      </c>
      <c r="AO216" s="2">
        <f>IF(OR($A216="",$AN216="",$Y216="",$Y216=0),"",ROUND($AN216/$Y216,0))</f>
        <v/>
      </c>
    </row>
    <row r="217">
      <c r="AD217" s="2">
        <f>IF($A217="","",COUNTIFS(Integraciones_Interfaces!$B:$B,$A217,Integraciones_Interfaces!$N:$N,"Activa"))</f>
        <v/>
      </c>
      <c r="AE217" s="2">
        <f>IF($A217="","",COUNTIF(Componentes!$B:$B,$A217))</f>
        <v/>
      </c>
      <c r="AO217" s="2">
        <f>IF(OR($A217="",$AN217="",$Y217="",$Y217=0),"",ROUND($AN217/$Y217,0))</f>
        <v/>
      </c>
    </row>
    <row r="218">
      <c r="AD218" s="2">
        <f>IF($A218="","",COUNTIFS(Integraciones_Interfaces!$B:$B,$A218,Integraciones_Interfaces!$N:$N,"Activa"))</f>
        <v/>
      </c>
      <c r="AE218" s="2">
        <f>IF($A218="","",COUNTIF(Componentes!$B:$B,$A218))</f>
        <v/>
      </c>
      <c r="AO218" s="2">
        <f>IF(OR($A218="",$AN218="",$Y218="",$Y218=0),"",ROUND($AN218/$Y218,0))</f>
        <v/>
      </c>
    </row>
    <row r="219">
      <c r="AD219" s="2">
        <f>IF($A219="","",COUNTIFS(Integraciones_Interfaces!$B:$B,$A219,Integraciones_Interfaces!$N:$N,"Activa"))</f>
        <v/>
      </c>
      <c r="AE219" s="2">
        <f>IF($A219="","",COUNTIF(Componentes!$B:$B,$A219))</f>
        <v/>
      </c>
      <c r="AO219" s="2">
        <f>IF(OR($A219="",$AN219="",$Y219="",$Y219=0),"",ROUND($AN219/$Y219,0))</f>
        <v/>
      </c>
    </row>
    <row r="220">
      <c r="AD220" s="2">
        <f>IF($A220="","",COUNTIFS(Integraciones_Interfaces!$B:$B,$A220,Integraciones_Interfaces!$N:$N,"Activa"))</f>
        <v/>
      </c>
      <c r="AE220" s="2">
        <f>IF($A220="","",COUNTIF(Componentes!$B:$B,$A220))</f>
        <v/>
      </c>
      <c r="AO220" s="2">
        <f>IF(OR($A220="",$AN220="",$Y220="",$Y220=0),"",ROUND($AN220/$Y220,0))</f>
        <v/>
      </c>
    </row>
    <row r="221">
      <c r="AD221" s="2">
        <f>IF($A221="","",COUNTIFS(Integraciones_Interfaces!$B:$B,$A221,Integraciones_Interfaces!$N:$N,"Activa"))</f>
        <v/>
      </c>
      <c r="AE221" s="2">
        <f>IF($A221="","",COUNTIF(Componentes!$B:$B,$A221))</f>
        <v/>
      </c>
      <c r="AO221" s="2">
        <f>IF(OR($A221="",$AN221="",$Y221="",$Y221=0),"",ROUND($AN221/$Y221,0))</f>
        <v/>
      </c>
    </row>
    <row r="222">
      <c r="AD222" s="2">
        <f>IF($A222="","",COUNTIFS(Integraciones_Interfaces!$B:$B,$A222,Integraciones_Interfaces!$N:$N,"Activa"))</f>
        <v/>
      </c>
      <c r="AE222" s="2">
        <f>IF($A222="","",COUNTIF(Componentes!$B:$B,$A222))</f>
        <v/>
      </c>
      <c r="AO222" s="2">
        <f>IF(OR($A222="",$AN222="",$Y222="",$Y222=0),"",ROUND($AN222/$Y222,0))</f>
        <v/>
      </c>
    </row>
    <row r="223">
      <c r="AD223" s="2">
        <f>IF($A223="","",COUNTIFS(Integraciones_Interfaces!$B:$B,$A223,Integraciones_Interfaces!$N:$N,"Activa"))</f>
        <v/>
      </c>
      <c r="AE223" s="2">
        <f>IF($A223="","",COUNTIF(Componentes!$B:$B,$A223))</f>
        <v/>
      </c>
      <c r="AO223" s="2">
        <f>IF(OR($A223="",$AN223="",$Y223="",$Y223=0),"",ROUND($AN223/$Y223,0))</f>
        <v/>
      </c>
    </row>
    <row r="224">
      <c r="AD224" s="2">
        <f>IF($A224="","",COUNTIFS(Integraciones_Interfaces!$B:$B,$A224,Integraciones_Interfaces!$N:$N,"Activa"))</f>
        <v/>
      </c>
      <c r="AE224" s="2">
        <f>IF($A224="","",COUNTIF(Componentes!$B:$B,$A224))</f>
        <v/>
      </c>
      <c r="AO224" s="2">
        <f>IF(OR($A224="",$AN224="",$Y224="",$Y224=0),"",ROUND($AN224/$Y224,0))</f>
        <v/>
      </c>
    </row>
    <row r="225">
      <c r="AD225" s="2">
        <f>IF($A225="","",COUNTIFS(Integraciones_Interfaces!$B:$B,$A225,Integraciones_Interfaces!$N:$N,"Activa"))</f>
        <v/>
      </c>
      <c r="AE225" s="2">
        <f>IF($A225="","",COUNTIF(Componentes!$B:$B,$A225))</f>
        <v/>
      </c>
      <c r="AO225" s="2">
        <f>IF(OR($A225="",$AN225="",$Y225="",$Y225=0),"",ROUND($AN225/$Y225,0))</f>
        <v/>
      </c>
    </row>
    <row r="226">
      <c r="AD226" s="2">
        <f>IF($A226="","",COUNTIFS(Integraciones_Interfaces!$B:$B,$A226,Integraciones_Interfaces!$N:$N,"Activa"))</f>
        <v/>
      </c>
      <c r="AE226" s="2">
        <f>IF($A226="","",COUNTIF(Componentes!$B:$B,$A226))</f>
        <v/>
      </c>
      <c r="AO226" s="2">
        <f>IF(OR($A226="",$AN226="",$Y226="",$Y226=0),"",ROUND($AN226/$Y226,0))</f>
        <v/>
      </c>
    </row>
    <row r="227">
      <c r="AD227" s="2">
        <f>IF($A227="","",COUNTIFS(Integraciones_Interfaces!$B:$B,$A227,Integraciones_Interfaces!$N:$N,"Activa"))</f>
        <v/>
      </c>
      <c r="AE227" s="2">
        <f>IF($A227="","",COUNTIF(Componentes!$B:$B,$A227))</f>
        <v/>
      </c>
      <c r="AO227" s="2">
        <f>IF(OR($A227="",$AN227="",$Y227="",$Y227=0),"",ROUND($AN227/$Y227,0))</f>
        <v/>
      </c>
    </row>
    <row r="228">
      <c r="AD228" s="2">
        <f>IF($A228="","",COUNTIFS(Integraciones_Interfaces!$B:$B,$A228,Integraciones_Interfaces!$N:$N,"Activa"))</f>
        <v/>
      </c>
      <c r="AE228" s="2">
        <f>IF($A228="","",COUNTIF(Componentes!$B:$B,$A228))</f>
        <v/>
      </c>
      <c r="AO228" s="2">
        <f>IF(OR($A228="",$AN228="",$Y228="",$Y228=0),"",ROUND($AN228/$Y228,0))</f>
        <v/>
      </c>
    </row>
    <row r="229">
      <c r="AD229" s="2">
        <f>IF($A229="","",COUNTIFS(Integraciones_Interfaces!$B:$B,$A229,Integraciones_Interfaces!$N:$N,"Activa"))</f>
        <v/>
      </c>
      <c r="AE229" s="2">
        <f>IF($A229="","",COUNTIF(Componentes!$B:$B,$A229))</f>
        <v/>
      </c>
      <c r="AO229" s="2">
        <f>IF(OR($A229="",$AN229="",$Y229="",$Y229=0),"",ROUND($AN229/$Y229,0))</f>
        <v/>
      </c>
    </row>
    <row r="230">
      <c r="AD230" s="2">
        <f>IF($A230="","",COUNTIFS(Integraciones_Interfaces!$B:$B,$A230,Integraciones_Interfaces!$N:$N,"Activa"))</f>
        <v/>
      </c>
      <c r="AE230" s="2">
        <f>IF($A230="","",COUNTIF(Componentes!$B:$B,$A230))</f>
        <v/>
      </c>
      <c r="AO230" s="2">
        <f>IF(OR($A230="",$AN230="",$Y230="",$Y230=0),"",ROUND($AN230/$Y230,0))</f>
        <v/>
      </c>
    </row>
    <row r="231">
      <c r="AD231" s="2">
        <f>IF($A231="","",COUNTIFS(Integraciones_Interfaces!$B:$B,$A231,Integraciones_Interfaces!$N:$N,"Activa"))</f>
        <v/>
      </c>
      <c r="AE231" s="2">
        <f>IF($A231="","",COUNTIF(Componentes!$B:$B,$A231))</f>
        <v/>
      </c>
      <c r="AO231" s="2">
        <f>IF(OR($A231="",$AN231="",$Y231="",$Y231=0),"",ROUND($AN231/$Y231,0))</f>
        <v/>
      </c>
    </row>
    <row r="232">
      <c r="AD232" s="2">
        <f>IF($A232="","",COUNTIFS(Integraciones_Interfaces!$B:$B,$A232,Integraciones_Interfaces!$N:$N,"Activa"))</f>
        <v/>
      </c>
      <c r="AE232" s="2">
        <f>IF($A232="","",COUNTIF(Componentes!$B:$B,$A232))</f>
        <v/>
      </c>
      <c r="AO232" s="2">
        <f>IF(OR($A232="",$AN232="",$Y232="",$Y232=0),"",ROUND($AN232/$Y232,0))</f>
        <v/>
      </c>
    </row>
    <row r="233">
      <c r="AD233" s="2">
        <f>IF($A233="","",COUNTIFS(Integraciones_Interfaces!$B:$B,$A233,Integraciones_Interfaces!$N:$N,"Activa"))</f>
        <v/>
      </c>
      <c r="AE233" s="2">
        <f>IF($A233="","",COUNTIF(Componentes!$B:$B,$A233))</f>
        <v/>
      </c>
      <c r="AO233" s="2">
        <f>IF(OR($A233="",$AN233="",$Y233="",$Y233=0),"",ROUND($AN233/$Y233,0))</f>
        <v/>
      </c>
    </row>
    <row r="234">
      <c r="AD234" s="2">
        <f>IF($A234="","",COUNTIFS(Integraciones_Interfaces!$B:$B,$A234,Integraciones_Interfaces!$N:$N,"Activa"))</f>
        <v/>
      </c>
      <c r="AE234" s="2">
        <f>IF($A234="","",COUNTIF(Componentes!$B:$B,$A234))</f>
        <v/>
      </c>
      <c r="AO234" s="2">
        <f>IF(OR($A234="",$AN234="",$Y234="",$Y234=0),"",ROUND($AN234/$Y234,0))</f>
        <v/>
      </c>
    </row>
    <row r="235">
      <c r="AD235" s="2">
        <f>IF($A235="","",COUNTIFS(Integraciones_Interfaces!$B:$B,$A235,Integraciones_Interfaces!$N:$N,"Activa"))</f>
        <v/>
      </c>
      <c r="AE235" s="2">
        <f>IF($A235="","",COUNTIF(Componentes!$B:$B,$A235))</f>
        <v/>
      </c>
      <c r="AO235" s="2">
        <f>IF(OR($A235="",$AN235="",$Y235="",$Y235=0),"",ROUND($AN235/$Y235,0))</f>
        <v/>
      </c>
    </row>
    <row r="236">
      <c r="AD236" s="2">
        <f>IF($A236="","",COUNTIFS(Integraciones_Interfaces!$B:$B,$A236,Integraciones_Interfaces!$N:$N,"Activa"))</f>
        <v/>
      </c>
      <c r="AE236" s="2">
        <f>IF($A236="","",COUNTIF(Componentes!$B:$B,$A236))</f>
        <v/>
      </c>
      <c r="AO236" s="2">
        <f>IF(OR($A236="",$AN236="",$Y236="",$Y236=0),"",ROUND($AN236/$Y236,0))</f>
        <v/>
      </c>
    </row>
    <row r="237">
      <c r="AD237" s="2">
        <f>IF($A237="","",COUNTIFS(Integraciones_Interfaces!$B:$B,$A237,Integraciones_Interfaces!$N:$N,"Activa"))</f>
        <v/>
      </c>
      <c r="AE237" s="2">
        <f>IF($A237="","",COUNTIF(Componentes!$B:$B,$A237))</f>
        <v/>
      </c>
      <c r="AO237" s="2">
        <f>IF(OR($A237="",$AN237="",$Y237="",$Y237=0),"",ROUND($AN237/$Y237,0))</f>
        <v/>
      </c>
    </row>
    <row r="238">
      <c r="AD238" s="2">
        <f>IF($A238="","",COUNTIFS(Integraciones_Interfaces!$B:$B,$A238,Integraciones_Interfaces!$N:$N,"Activa"))</f>
        <v/>
      </c>
      <c r="AE238" s="2">
        <f>IF($A238="","",COUNTIF(Componentes!$B:$B,$A238))</f>
        <v/>
      </c>
      <c r="AO238" s="2">
        <f>IF(OR($A238="",$AN238="",$Y238="",$Y238=0),"",ROUND($AN238/$Y238,0))</f>
        <v/>
      </c>
    </row>
    <row r="239">
      <c r="AD239" s="2">
        <f>IF($A239="","",COUNTIFS(Integraciones_Interfaces!$B:$B,$A239,Integraciones_Interfaces!$N:$N,"Activa"))</f>
        <v/>
      </c>
      <c r="AE239" s="2">
        <f>IF($A239="","",COUNTIF(Componentes!$B:$B,$A239))</f>
        <v/>
      </c>
      <c r="AO239" s="2">
        <f>IF(OR($A239="",$AN239="",$Y239="",$Y239=0),"",ROUND($AN239/$Y239,0))</f>
        <v/>
      </c>
    </row>
    <row r="240">
      <c r="AD240" s="2">
        <f>IF($A240="","",COUNTIFS(Integraciones_Interfaces!$B:$B,$A240,Integraciones_Interfaces!$N:$N,"Activa"))</f>
        <v/>
      </c>
      <c r="AE240" s="2">
        <f>IF($A240="","",COUNTIF(Componentes!$B:$B,$A240))</f>
        <v/>
      </c>
      <c r="AO240" s="2">
        <f>IF(OR($A240="",$AN240="",$Y240="",$Y240=0),"",ROUND($AN240/$Y240,0))</f>
        <v/>
      </c>
    </row>
    <row r="241">
      <c r="AD241" s="2">
        <f>IF($A241="","",COUNTIFS(Integraciones_Interfaces!$B:$B,$A241,Integraciones_Interfaces!$N:$N,"Activa"))</f>
        <v/>
      </c>
      <c r="AE241" s="2">
        <f>IF($A241="","",COUNTIF(Componentes!$B:$B,$A241))</f>
        <v/>
      </c>
      <c r="AO241" s="2">
        <f>IF(OR($A241="",$AN241="",$Y241="",$Y241=0),"",ROUND($AN241/$Y241,0))</f>
        <v/>
      </c>
    </row>
    <row r="242">
      <c r="AD242" s="2">
        <f>IF($A242="","",COUNTIFS(Integraciones_Interfaces!$B:$B,$A242,Integraciones_Interfaces!$N:$N,"Activa"))</f>
        <v/>
      </c>
      <c r="AE242" s="2">
        <f>IF($A242="","",COUNTIF(Componentes!$B:$B,$A242))</f>
        <v/>
      </c>
      <c r="AO242" s="2">
        <f>IF(OR($A242="",$AN242="",$Y242="",$Y242=0),"",ROUND($AN242/$Y242,0))</f>
        <v/>
      </c>
    </row>
    <row r="243">
      <c r="AD243" s="2">
        <f>IF($A243="","",COUNTIFS(Integraciones_Interfaces!$B:$B,$A243,Integraciones_Interfaces!$N:$N,"Activa"))</f>
        <v/>
      </c>
      <c r="AE243" s="2">
        <f>IF($A243="","",COUNTIF(Componentes!$B:$B,$A243))</f>
        <v/>
      </c>
      <c r="AO243" s="2">
        <f>IF(OR($A243="",$AN243="",$Y243="",$Y243=0),"",ROUND($AN243/$Y243,0))</f>
        <v/>
      </c>
    </row>
    <row r="244">
      <c r="AD244" s="2">
        <f>IF($A244="","",COUNTIFS(Integraciones_Interfaces!$B:$B,$A244,Integraciones_Interfaces!$N:$N,"Activa"))</f>
        <v/>
      </c>
      <c r="AE244" s="2">
        <f>IF($A244="","",COUNTIF(Componentes!$B:$B,$A244))</f>
        <v/>
      </c>
      <c r="AO244" s="2">
        <f>IF(OR($A244="",$AN244="",$Y244="",$Y244=0),"",ROUND($AN244/$Y244,0))</f>
        <v/>
      </c>
    </row>
    <row r="245">
      <c r="AD245" s="2">
        <f>IF($A245="","",COUNTIFS(Integraciones_Interfaces!$B:$B,$A245,Integraciones_Interfaces!$N:$N,"Activa"))</f>
        <v/>
      </c>
      <c r="AE245" s="2">
        <f>IF($A245="","",COUNTIF(Componentes!$B:$B,$A245))</f>
        <v/>
      </c>
      <c r="AO245" s="2">
        <f>IF(OR($A245="",$AN245="",$Y245="",$Y245=0),"",ROUND($AN245/$Y245,0))</f>
        <v/>
      </c>
    </row>
    <row r="246">
      <c r="AD246" s="2">
        <f>IF($A246="","",COUNTIFS(Integraciones_Interfaces!$B:$B,$A246,Integraciones_Interfaces!$N:$N,"Activa"))</f>
        <v/>
      </c>
      <c r="AE246" s="2">
        <f>IF($A246="","",COUNTIF(Componentes!$B:$B,$A246))</f>
        <v/>
      </c>
      <c r="AO246" s="2">
        <f>IF(OR($A246="",$AN246="",$Y246="",$Y246=0),"",ROUND($AN246/$Y246,0))</f>
        <v/>
      </c>
    </row>
    <row r="247">
      <c r="AD247" s="2">
        <f>IF($A247="","",COUNTIFS(Integraciones_Interfaces!$B:$B,$A247,Integraciones_Interfaces!$N:$N,"Activa"))</f>
        <v/>
      </c>
      <c r="AE247" s="2">
        <f>IF($A247="","",COUNTIF(Componentes!$B:$B,$A247))</f>
        <v/>
      </c>
      <c r="AO247" s="2">
        <f>IF(OR($A247="",$AN247="",$Y247="",$Y247=0),"",ROUND($AN247/$Y247,0))</f>
        <v/>
      </c>
    </row>
    <row r="248">
      <c r="AD248" s="2">
        <f>IF($A248="","",COUNTIFS(Integraciones_Interfaces!$B:$B,$A248,Integraciones_Interfaces!$N:$N,"Activa"))</f>
        <v/>
      </c>
      <c r="AE248" s="2">
        <f>IF($A248="","",COUNTIF(Componentes!$B:$B,$A248))</f>
        <v/>
      </c>
      <c r="AO248" s="2">
        <f>IF(OR($A248="",$AN248="",$Y248="",$Y248=0),"",ROUND($AN248/$Y248,0))</f>
        <v/>
      </c>
    </row>
    <row r="249">
      <c r="AD249" s="2">
        <f>IF($A249="","",COUNTIFS(Integraciones_Interfaces!$B:$B,$A249,Integraciones_Interfaces!$N:$N,"Activa"))</f>
        <v/>
      </c>
      <c r="AE249" s="2">
        <f>IF($A249="","",COUNTIF(Componentes!$B:$B,$A249))</f>
        <v/>
      </c>
      <c r="AO249" s="2">
        <f>IF(OR($A249="",$AN249="",$Y249="",$Y249=0),"",ROUND($AN249/$Y249,0))</f>
        <v/>
      </c>
    </row>
    <row r="250">
      <c r="AD250" s="2">
        <f>IF($A250="","",COUNTIFS(Integraciones_Interfaces!$B:$B,$A250,Integraciones_Interfaces!$N:$N,"Activa"))</f>
        <v/>
      </c>
      <c r="AE250" s="2">
        <f>IF($A250="","",COUNTIF(Componentes!$B:$B,$A250))</f>
        <v/>
      </c>
      <c r="AO250" s="2">
        <f>IF(OR($A250="",$AN250="",$Y250="",$Y250=0),"",ROUND($AN250/$Y250,0))</f>
        <v/>
      </c>
    </row>
    <row r="251">
      <c r="AD251" s="2">
        <f>IF($A251="","",COUNTIFS(Integraciones_Interfaces!$B:$B,$A251,Integraciones_Interfaces!$N:$N,"Activa"))</f>
        <v/>
      </c>
      <c r="AE251" s="2">
        <f>IF($A251="","",COUNTIF(Componentes!$B:$B,$A251))</f>
        <v/>
      </c>
      <c r="AO251" s="2">
        <f>IF(OR($A251="",$AN251="",$Y251="",$Y251=0),"",ROUND($AN251/$Y251,0))</f>
        <v/>
      </c>
    </row>
    <row r="252">
      <c r="AD252" s="2">
        <f>IF($A252="","",COUNTIFS(Integraciones_Interfaces!$B:$B,$A252,Integraciones_Interfaces!$N:$N,"Activa"))</f>
        <v/>
      </c>
      <c r="AE252" s="2">
        <f>IF($A252="","",COUNTIF(Componentes!$B:$B,$A252))</f>
        <v/>
      </c>
      <c r="AO252" s="2">
        <f>IF(OR($A252="",$AN252="",$Y252="",$Y252=0),"",ROUND($AN252/$Y252,0))</f>
        <v/>
      </c>
    </row>
    <row r="253">
      <c r="AD253" s="2">
        <f>IF($A253="","",COUNTIFS(Integraciones_Interfaces!$B:$B,$A253,Integraciones_Interfaces!$N:$N,"Activa"))</f>
        <v/>
      </c>
      <c r="AE253" s="2">
        <f>IF($A253="","",COUNTIF(Componentes!$B:$B,$A253))</f>
        <v/>
      </c>
      <c r="AO253" s="2">
        <f>IF(OR($A253="",$AN253="",$Y253="",$Y253=0),"",ROUND($AN253/$Y253,0))</f>
        <v/>
      </c>
    </row>
    <row r="254">
      <c r="AD254" s="2">
        <f>IF($A254="","",COUNTIFS(Integraciones_Interfaces!$B:$B,$A254,Integraciones_Interfaces!$N:$N,"Activa"))</f>
        <v/>
      </c>
      <c r="AE254" s="2">
        <f>IF($A254="","",COUNTIF(Componentes!$B:$B,$A254))</f>
        <v/>
      </c>
      <c r="AO254" s="2">
        <f>IF(OR($A254="",$AN254="",$Y254="",$Y254=0),"",ROUND($AN254/$Y254,0))</f>
        <v/>
      </c>
    </row>
    <row r="255">
      <c r="AD255" s="2">
        <f>IF($A255="","",COUNTIFS(Integraciones_Interfaces!$B:$B,$A255,Integraciones_Interfaces!$N:$N,"Activa"))</f>
        <v/>
      </c>
      <c r="AE255" s="2">
        <f>IF($A255="","",COUNTIF(Componentes!$B:$B,$A255))</f>
        <v/>
      </c>
      <c r="AO255" s="2">
        <f>IF(OR($A255="",$AN255="",$Y255="",$Y255=0),"",ROUND($AN255/$Y255,0))</f>
        <v/>
      </c>
    </row>
    <row r="256">
      <c r="AD256" s="2">
        <f>IF($A256="","",COUNTIFS(Integraciones_Interfaces!$B:$B,$A256,Integraciones_Interfaces!$N:$N,"Activa"))</f>
        <v/>
      </c>
      <c r="AE256" s="2">
        <f>IF($A256="","",COUNTIF(Componentes!$B:$B,$A256))</f>
        <v/>
      </c>
      <c r="AO256" s="2">
        <f>IF(OR($A256="",$AN256="",$Y256="",$Y256=0),"",ROUND($AN256/$Y256,0))</f>
        <v/>
      </c>
    </row>
    <row r="257">
      <c r="AD257" s="2">
        <f>IF($A257="","",COUNTIFS(Integraciones_Interfaces!$B:$B,$A257,Integraciones_Interfaces!$N:$N,"Activa"))</f>
        <v/>
      </c>
      <c r="AE257" s="2">
        <f>IF($A257="","",COUNTIF(Componentes!$B:$B,$A257))</f>
        <v/>
      </c>
      <c r="AO257" s="2">
        <f>IF(OR($A257="",$AN257="",$Y257="",$Y257=0),"",ROUND($AN257/$Y257,0))</f>
        <v/>
      </c>
    </row>
    <row r="258">
      <c r="AD258" s="2">
        <f>IF($A258="","",COUNTIFS(Integraciones_Interfaces!$B:$B,$A258,Integraciones_Interfaces!$N:$N,"Activa"))</f>
        <v/>
      </c>
      <c r="AE258" s="2">
        <f>IF($A258="","",COUNTIF(Componentes!$B:$B,$A258))</f>
        <v/>
      </c>
      <c r="AO258" s="2">
        <f>IF(OR($A258="",$AN258="",$Y258="",$Y258=0),"",ROUND($AN258/$Y258,0))</f>
        <v/>
      </c>
    </row>
    <row r="259">
      <c r="AD259" s="2">
        <f>IF($A259="","",COUNTIFS(Integraciones_Interfaces!$B:$B,$A259,Integraciones_Interfaces!$N:$N,"Activa"))</f>
        <v/>
      </c>
      <c r="AE259" s="2">
        <f>IF($A259="","",COUNTIF(Componentes!$B:$B,$A259))</f>
        <v/>
      </c>
      <c r="AO259" s="2">
        <f>IF(OR($A259="",$AN259="",$Y259="",$Y259=0),"",ROUND($AN259/$Y259,0))</f>
        <v/>
      </c>
    </row>
    <row r="260">
      <c r="AD260" s="2">
        <f>IF($A260="","",COUNTIFS(Integraciones_Interfaces!$B:$B,$A260,Integraciones_Interfaces!$N:$N,"Activa"))</f>
        <v/>
      </c>
      <c r="AE260" s="2">
        <f>IF($A260="","",COUNTIF(Componentes!$B:$B,$A260))</f>
        <v/>
      </c>
      <c r="AO260" s="2">
        <f>IF(OR($A260="",$AN260="",$Y260="",$Y260=0),"",ROUND($AN260/$Y260,0))</f>
        <v/>
      </c>
    </row>
    <row r="261">
      <c r="AD261" s="2">
        <f>IF($A261="","",COUNTIFS(Integraciones_Interfaces!$B:$B,$A261,Integraciones_Interfaces!$N:$N,"Activa"))</f>
        <v/>
      </c>
      <c r="AE261" s="2">
        <f>IF($A261="","",COUNTIF(Componentes!$B:$B,$A261))</f>
        <v/>
      </c>
      <c r="AO261" s="2">
        <f>IF(OR($A261="",$AN261="",$Y261="",$Y261=0),"",ROUND($AN261/$Y261,0))</f>
        <v/>
      </c>
    </row>
    <row r="262">
      <c r="AD262" s="2">
        <f>IF($A262="","",COUNTIFS(Integraciones_Interfaces!$B:$B,$A262,Integraciones_Interfaces!$N:$N,"Activa"))</f>
        <v/>
      </c>
      <c r="AE262" s="2">
        <f>IF($A262="","",COUNTIF(Componentes!$B:$B,$A262))</f>
        <v/>
      </c>
      <c r="AO262" s="2">
        <f>IF(OR($A262="",$AN262="",$Y262="",$Y262=0),"",ROUND($AN262/$Y262,0))</f>
        <v/>
      </c>
    </row>
    <row r="263">
      <c r="AD263" s="2">
        <f>IF($A263="","",COUNTIFS(Integraciones_Interfaces!$B:$B,$A263,Integraciones_Interfaces!$N:$N,"Activa"))</f>
        <v/>
      </c>
      <c r="AE263" s="2">
        <f>IF($A263="","",COUNTIF(Componentes!$B:$B,$A263))</f>
        <v/>
      </c>
      <c r="AO263" s="2">
        <f>IF(OR($A263="",$AN263="",$Y263="",$Y263=0),"",ROUND($AN263/$Y263,0))</f>
        <v/>
      </c>
    </row>
    <row r="264">
      <c r="AD264" s="2">
        <f>IF($A264="","",COUNTIFS(Integraciones_Interfaces!$B:$B,$A264,Integraciones_Interfaces!$N:$N,"Activa"))</f>
        <v/>
      </c>
      <c r="AE264" s="2">
        <f>IF($A264="","",COUNTIF(Componentes!$B:$B,$A264))</f>
        <v/>
      </c>
      <c r="AO264" s="2">
        <f>IF(OR($A264="",$AN264="",$Y264="",$Y264=0),"",ROUND($AN264/$Y264,0))</f>
        <v/>
      </c>
    </row>
    <row r="265">
      <c r="AD265" s="2">
        <f>IF($A265="","",COUNTIFS(Integraciones_Interfaces!$B:$B,$A265,Integraciones_Interfaces!$N:$N,"Activa"))</f>
        <v/>
      </c>
      <c r="AE265" s="2">
        <f>IF($A265="","",COUNTIF(Componentes!$B:$B,$A265))</f>
        <v/>
      </c>
      <c r="AO265" s="2">
        <f>IF(OR($A265="",$AN265="",$Y265="",$Y265=0),"",ROUND($AN265/$Y265,0))</f>
        <v/>
      </c>
    </row>
    <row r="266">
      <c r="AD266" s="2">
        <f>IF($A266="","",COUNTIFS(Integraciones_Interfaces!$B:$B,$A266,Integraciones_Interfaces!$N:$N,"Activa"))</f>
        <v/>
      </c>
      <c r="AE266" s="2">
        <f>IF($A266="","",COUNTIF(Componentes!$B:$B,$A266))</f>
        <v/>
      </c>
      <c r="AO266" s="2">
        <f>IF(OR($A266="",$AN266="",$Y266="",$Y266=0),"",ROUND($AN266/$Y266,0))</f>
        <v/>
      </c>
    </row>
    <row r="267">
      <c r="AD267" s="2">
        <f>IF($A267="","",COUNTIFS(Integraciones_Interfaces!$B:$B,$A267,Integraciones_Interfaces!$N:$N,"Activa"))</f>
        <v/>
      </c>
      <c r="AE267" s="2">
        <f>IF($A267="","",COUNTIF(Componentes!$B:$B,$A267))</f>
        <v/>
      </c>
      <c r="AO267" s="2">
        <f>IF(OR($A267="",$AN267="",$Y267="",$Y267=0),"",ROUND($AN267/$Y267,0))</f>
        <v/>
      </c>
    </row>
    <row r="268">
      <c r="AD268" s="2">
        <f>IF($A268="","",COUNTIFS(Integraciones_Interfaces!$B:$B,$A268,Integraciones_Interfaces!$N:$N,"Activa"))</f>
        <v/>
      </c>
      <c r="AE268" s="2">
        <f>IF($A268="","",COUNTIF(Componentes!$B:$B,$A268))</f>
        <v/>
      </c>
      <c r="AO268" s="2">
        <f>IF(OR($A268="",$AN268="",$Y268="",$Y268=0),"",ROUND($AN268/$Y268,0))</f>
        <v/>
      </c>
    </row>
    <row r="269">
      <c r="AD269" s="2">
        <f>IF($A269="","",COUNTIFS(Integraciones_Interfaces!$B:$B,$A269,Integraciones_Interfaces!$N:$N,"Activa"))</f>
        <v/>
      </c>
      <c r="AE269" s="2">
        <f>IF($A269="","",COUNTIF(Componentes!$B:$B,$A269))</f>
        <v/>
      </c>
      <c r="AO269" s="2">
        <f>IF(OR($A269="",$AN269="",$Y269="",$Y269=0),"",ROUND($AN269/$Y269,0))</f>
        <v/>
      </c>
    </row>
    <row r="270">
      <c r="AD270" s="2">
        <f>IF($A270="","",COUNTIFS(Integraciones_Interfaces!$B:$B,$A270,Integraciones_Interfaces!$N:$N,"Activa"))</f>
        <v/>
      </c>
      <c r="AE270" s="2">
        <f>IF($A270="","",COUNTIF(Componentes!$B:$B,$A270))</f>
        <v/>
      </c>
      <c r="AO270" s="2">
        <f>IF(OR($A270="",$AN270="",$Y270="",$Y270=0),"",ROUND($AN270/$Y270,0))</f>
        <v/>
      </c>
    </row>
    <row r="271">
      <c r="AD271" s="2">
        <f>IF($A271="","",COUNTIFS(Integraciones_Interfaces!$B:$B,$A271,Integraciones_Interfaces!$N:$N,"Activa"))</f>
        <v/>
      </c>
      <c r="AE271" s="2">
        <f>IF($A271="","",COUNTIF(Componentes!$B:$B,$A271))</f>
        <v/>
      </c>
      <c r="AO271" s="2">
        <f>IF(OR($A271="",$AN271="",$Y271="",$Y271=0),"",ROUND($AN271/$Y271,0))</f>
        <v/>
      </c>
    </row>
    <row r="272">
      <c r="AD272" s="2">
        <f>IF($A272="","",COUNTIFS(Integraciones_Interfaces!$B:$B,$A272,Integraciones_Interfaces!$N:$N,"Activa"))</f>
        <v/>
      </c>
      <c r="AE272" s="2">
        <f>IF($A272="","",COUNTIF(Componentes!$B:$B,$A272))</f>
        <v/>
      </c>
      <c r="AO272" s="2">
        <f>IF(OR($A272="",$AN272="",$Y272="",$Y272=0),"",ROUND($AN272/$Y272,0))</f>
        <v/>
      </c>
    </row>
    <row r="273">
      <c r="AD273" s="2">
        <f>IF($A273="","",COUNTIFS(Integraciones_Interfaces!$B:$B,$A273,Integraciones_Interfaces!$N:$N,"Activa"))</f>
        <v/>
      </c>
      <c r="AE273" s="2">
        <f>IF($A273="","",COUNTIF(Componentes!$B:$B,$A273))</f>
        <v/>
      </c>
      <c r="AO273" s="2">
        <f>IF(OR($A273="",$AN273="",$Y273="",$Y273=0),"",ROUND($AN273/$Y273,0))</f>
        <v/>
      </c>
    </row>
    <row r="274">
      <c r="AD274" s="2">
        <f>IF($A274="","",COUNTIFS(Integraciones_Interfaces!$B:$B,$A274,Integraciones_Interfaces!$N:$N,"Activa"))</f>
        <v/>
      </c>
      <c r="AE274" s="2">
        <f>IF($A274="","",COUNTIF(Componentes!$B:$B,$A274))</f>
        <v/>
      </c>
      <c r="AO274" s="2">
        <f>IF(OR($A274="",$AN274="",$Y274="",$Y274=0),"",ROUND($AN274/$Y274,0))</f>
        <v/>
      </c>
    </row>
    <row r="275">
      <c r="AD275" s="2">
        <f>IF($A275="","",COUNTIFS(Integraciones_Interfaces!$B:$B,$A275,Integraciones_Interfaces!$N:$N,"Activa"))</f>
        <v/>
      </c>
      <c r="AE275" s="2">
        <f>IF($A275="","",COUNTIF(Componentes!$B:$B,$A275))</f>
        <v/>
      </c>
      <c r="AO275" s="2">
        <f>IF(OR($A275="",$AN275="",$Y275="",$Y275=0),"",ROUND($AN275/$Y275,0))</f>
        <v/>
      </c>
    </row>
    <row r="276">
      <c r="AD276" s="2">
        <f>IF($A276="","",COUNTIFS(Integraciones_Interfaces!$B:$B,$A276,Integraciones_Interfaces!$N:$N,"Activa"))</f>
        <v/>
      </c>
      <c r="AE276" s="2">
        <f>IF($A276="","",COUNTIF(Componentes!$B:$B,$A276))</f>
        <v/>
      </c>
      <c r="AO276" s="2">
        <f>IF(OR($A276="",$AN276="",$Y276="",$Y276=0),"",ROUND($AN276/$Y276,0))</f>
        <v/>
      </c>
    </row>
    <row r="277">
      <c r="AD277" s="2">
        <f>IF($A277="","",COUNTIFS(Integraciones_Interfaces!$B:$B,$A277,Integraciones_Interfaces!$N:$N,"Activa"))</f>
        <v/>
      </c>
      <c r="AE277" s="2">
        <f>IF($A277="","",COUNTIF(Componentes!$B:$B,$A277))</f>
        <v/>
      </c>
      <c r="AO277" s="2">
        <f>IF(OR($A277="",$AN277="",$Y277="",$Y277=0),"",ROUND($AN277/$Y277,0))</f>
        <v/>
      </c>
    </row>
    <row r="278">
      <c r="AD278" s="2">
        <f>IF($A278="","",COUNTIFS(Integraciones_Interfaces!$B:$B,$A278,Integraciones_Interfaces!$N:$N,"Activa"))</f>
        <v/>
      </c>
      <c r="AE278" s="2">
        <f>IF($A278="","",COUNTIF(Componentes!$B:$B,$A278))</f>
        <v/>
      </c>
      <c r="AO278" s="2">
        <f>IF(OR($A278="",$AN278="",$Y278="",$Y278=0),"",ROUND($AN278/$Y278,0))</f>
        <v/>
      </c>
    </row>
    <row r="279">
      <c r="AD279" s="2">
        <f>IF($A279="","",COUNTIFS(Integraciones_Interfaces!$B:$B,$A279,Integraciones_Interfaces!$N:$N,"Activa"))</f>
        <v/>
      </c>
      <c r="AE279" s="2">
        <f>IF($A279="","",COUNTIF(Componentes!$B:$B,$A279))</f>
        <v/>
      </c>
      <c r="AO279" s="2">
        <f>IF(OR($A279="",$AN279="",$Y279="",$Y279=0),"",ROUND($AN279/$Y279,0))</f>
        <v/>
      </c>
    </row>
    <row r="280">
      <c r="AD280" s="2">
        <f>IF($A280="","",COUNTIFS(Integraciones_Interfaces!$B:$B,$A280,Integraciones_Interfaces!$N:$N,"Activa"))</f>
        <v/>
      </c>
      <c r="AE280" s="2">
        <f>IF($A280="","",COUNTIF(Componentes!$B:$B,$A280))</f>
        <v/>
      </c>
      <c r="AO280" s="2">
        <f>IF(OR($A280="",$AN280="",$Y280="",$Y280=0),"",ROUND($AN280/$Y280,0))</f>
        <v/>
      </c>
    </row>
    <row r="281">
      <c r="AD281" s="2">
        <f>IF($A281="","",COUNTIFS(Integraciones_Interfaces!$B:$B,$A281,Integraciones_Interfaces!$N:$N,"Activa"))</f>
        <v/>
      </c>
      <c r="AE281" s="2">
        <f>IF($A281="","",COUNTIF(Componentes!$B:$B,$A281))</f>
        <v/>
      </c>
      <c r="AO281" s="2">
        <f>IF(OR($A281="",$AN281="",$Y281="",$Y281=0),"",ROUND($AN281/$Y281,0))</f>
        <v/>
      </c>
    </row>
    <row r="282">
      <c r="AD282" s="2">
        <f>IF($A282="","",COUNTIFS(Integraciones_Interfaces!$B:$B,$A282,Integraciones_Interfaces!$N:$N,"Activa"))</f>
        <v/>
      </c>
      <c r="AE282" s="2">
        <f>IF($A282="","",COUNTIF(Componentes!$B:$B,$A282))</f>
        <v/>
      </c>
      <c r="AO282" s="2">
        <f>IF(OR($A282="",$AN282="",$Y282="",$Y282=0),"",ROUND($AN282/$Y282,0))</f>
        <v/>
      </c>
    </row>
    <row r="283">
      <c r="AD283" s="2">
        <f>IF($A283="","",COUNTIFS(Integraciones_Interfaces!$B:$B,$A283,Integraciones_Interfaces!$N:$N,"Activa"))</f>
        <v/>
      </c>
      <c r="AE283" s="2">
        <f>IF($A283="","",COUNTIF(Componentes!$B:$B,$A283))</f>
        <v/>
      </c>
      <c r="AO283" s="2">
        <f>IF(OR($A283="",$AN283="",$Y283="",$Y283=0),"",ROUND($AN283/$Y283,0))</f>
        <v/>
      </c>
    </row>
    <row r="284">
      <c r="AD284" s="2">
        <f>IF($A284="","",COUNTIFS(Integraciones_Interfaces!$B:$B,$A284,Integraciones_Interfaces!$N:$N,"Activa"))</f>
        <v/>
      </c>
      <c r="AE284" s="2">
        <f>IF($A284="","",COUNTIF(Componentes!$B:$B,$A284))</f>
        <v/>
      </c>
      <c r="AO284" s="2">
        <f>IF(OR($A284="",$AN284="",$Y284="",$Y284=0),"",ROUND($AN284/$Y284,0))</f>
        <v/>
      </c>
    </row>
    <row r="285">
      <c r="AD285" s="2">
        <f>IF($A285="","",COUNTIFS(Integraciones_Interfaces!$B:$B,$A285,Integraciones_Interfaces!$N:$N,"Activa"))</f>
        <v/>
      </c>
      <c r="AE285" s="2">
        <f>IF($A285="","",COUNTIF(Componentes!$B:$B,$A285))</f>
        <v/>
      </c>
      <c r="AO285" s="2">
        <f>IF(OR($A285="",$AN285="",$Y285="",$Y285=0),"",ROUND($AN285/$Y285,0))</f>
        <v/>
      </c>
    </row>
    <row r="286">
      <c r="AD286" s="2">
        <f>IF($A286="","",COUNTIFS(Integraciones_Interfaces!$B:$B,$A286,Integraciones_Interfaces!$N:$N,"Activa"))</f>
        <v/>
      </c>
      <c r="AE286" s="2">
        <f>IF($A286="","",COUNTIF(Componentes!$B:$B,$A286))</f>
        <v/>
      </c>
      <c r="AO286" s="2">
        <f>IF(OR($A286="",$AN286="",$Y286="",$Y286=0),"",ROUND($AN286/$Y286,0))</f>
        <v/>
      </c>
    </row>
    <row r="287">
      <c r="AD287" s="2">
        <f>IF($A287="","",COUNTIFS(Integraciones_Interfaces!$B:$B,$A287,Integraciones_Interfaces!$N:$N,"Activa"))</f>
        <v/>
      </c>
      <c r="AE287" s="2">
        <f>IF($A287="","",COUNTIF(Componentes!$B:$B,$A287))</f>
        <v/>
      </c>
      <c r="AO287" s="2">
        <f>IF(OR($A287="",$AN287="",$Y287="",$Y287=0),"",ROUND($AN287/$Y287,0))</f>
        <v/>
      </c>
    </row>
    <row r="288">
      <c r="AD288" s="2">
        <f>IF($A288="","",COUNTIFS(Integraciones_Interfaces!$B:$B,$A288,Integraciones_Interfaces!$N:$N,"Activa"))</f>
        <v/>
      </c>
      <c r="AE288" s="2">
        <f>IF($A288="","",COUNTIF(Componentes!$B:$B,$A288))</f>
        <v/>
      </c>
      <c r="AO288" s="2">
        <f>IF(OR($A288="",$AN288="",$Y288="",$Y288=0),"",ROUND($AN288/$Y288,0))</f>
        <v/>
      </c>
    </row>
    <row r="289">
      <c r="AD289" s="2">
        <f>IF($A289="","",COUNTIFS(Integraciones_Interfaces!$B:$B,$A289,Integraciones_Interfaces!$N:$N,"Activa"))</f>
        <v/>
      </c>
      <c r="AE289" s="2">
        <f>IF($A289="","",COUNTIF(Componentes!$B:$B,$A289))</f>
        <v/>
      </c>
      <c r="AO289" s="2">
        <f>IF(OR($A289="",$AN289="",$Y289="",$Y289=0),"",ROUND($AN289/$Y289,0))</f>
        <v/>
      </c>
    </row>
    <row r="290">
      <c r="AD290" s="2">
        <f>IF($A290="","",COUNTIFS(Integraciones_Interfaces!$B:$B,$A290,Integraciones_Interfaces!$N:$N,"Activa"))</f>
        <v/>
      </c>
      <c r="AE290" s="2">
        <f>IF($A290="","",COUNTIF(Componentes!$B:$B,$A290))</f>
        <v/>
      </c>
      <c r="AO290" s="2">
        <f>IF(OR($A290="",$AN290="",$Y290="",$Y290=0),"",ROUND($AN290/$Y290,0))</f>
        <v/>
      </c>
    </row>
    <row r="291">
      <c r="AD291" s="2">
        <f>IF($A291="","",COUNTIFS(Integraciones_Interfaces!$B:$B,$A291,Integraciones_Interfaces!$N:$N,"Activa"))</f>
        <v/>
      </c>
      <c r="AE291" s="2">
        <f>IF($A291="","",COUNTIF(Componentes!$B:$B,$A291))</f>
        <v/>
      </c>
      <c r="AO291" s="2">
        <f>IF(OR($A291="",$AN291="",$Y291="",$Y291=0),"",ROUND($AN291/$Y291,0))</f>
        <v/>
      </c>
    </row>
    <row r="292">
      <c r="AD292" s="2">
        <f>IF($A292="","",COUNTIFS(Integraciones_Interfaces!$B:$B,$A292,Integraciones_Interfaces!$N:$N,"Activa"))</f>
        <v/>
      </c>
      <c r="AE292" s="2">
        <f>IF($A292="","",COUNTIF(Componentes!$B:$B,$A292))</f>
        <v/>
      </c>
      <c r="AO292" s="2">
        <f>IF(OR($A292="",$AN292="",$Y292="",$Y292=0),"",ROUND($AN292/$Y292,0))</f>
        <v/>
      </c>
    </row>
    <row r="293">
      <c r="AD293" s="2">
        <f>IF($A293="","",COUNTIFS(Integraciones_Interfaces!$B:$B,$A293,Integraciones_Interfaces!$N:$N,"Activa"))</f>
        <v/>
      </c>
      <c r="AE293" s="2">
        <f>IF($A293="","",COUNTIF(Componentes!$B:$B,$A293))</f>
        <v/>
      </c>
      <c r="AO293" s="2">
        <f>IF(OR($A293="",$AN293="",$Y293="",$Y293=0),"",ROUND($AN293/$Y293,0))</f>
        <v/>
      </c>
    </row>
    <row r="294">
      <c r="AD294" s="2">
        <f>IF($A294="","",COUNTIFS(Integraciones_Interfaces!$B:$B,$A294,Integraciones_Interfaces!$N:$N,"Activa"))</f>
        <v/>
      </c>
      <c r="AE294" s="2">
        <f>IF($A294="","",COUNTIF(Componentes!$B:$B,$A294))</f>
        <v/>
      </c>
      <c r="AO294" s="2">
        <f>IF(OR($A294="",$AN294="",$Y294="",$Y294=0),"",ROUND($AN294/$Y294,0))</f>
        <v/>
      </c>
    </row>
    <row r="295">
      <c r="AD295" s="2">
        <f>IF($A295="","",COUNTIFS(Integraciones_Interfaces!$B:$B,$A295,Integraciones_Interfaces!$N:$N,"Activa"))</f>
        <v/>
      </c>
      <c r="AE295" s="2">
        <f>IF($A295="","",COUNTIF(Componentes!$B:$B,$A295))</f>
        <v/>
      </c>
      <c r="AO295" s="2">
        <f>IF(OR($A295="",$AN295="",$Y295="",$Y295=0),"",ROUND($AN295/$Y295,0))</f>
        <v/>
      </c>
    </row>
    <row r="296">
      <c r="AD296" s="2">
        <f>IF($A296="","",COUNTIFS(Integraciones_Interfaces!$B:$B,$A296,Integraciones_Interfaces!$N:$N,"Activa"))</f>
        <v/>
      </c>
      <c r="AE296" s="2">
        <f>IF($A296="","",COUNTIF(Componentes!$B:$B,$A296))</f>
        <v/>
      </c>
      <c r="AO296" s="2">
        <f>IF(OR($A296="",$AN296="",$Y296="",$Y296=0),"",ROUND($AN296/$Y296,0))</f>
        <v/>
      </c>
    </row>
    <row r="297">
      <c r="AD297" s="2">
        <f>IF($A297="","",COUNTIFS(Integraciones_Interfaces!$B:$B,$A297,Integraciones_Interfaces!$N:$N,"Activa"))</f>
        <v/>
      </c>
      <c r="AE297" s="2">
        <f>IF($A297="","",COUNTIF(Componentes!$B:$B,$A297))</f>
        <v/>
      </c>
      <c r="AO297" s="2">
        <f>IF(OR($A297="",$AN297="",$Y297="",$Y297=0),"",ROUND($AN297/$Y297,0))</f>
        <v/>
      </c>
    </row>
    <row r="298">
      <c r="AD298" s="2">
        <f>IF($A298="","",COUNTIFS(Integraciones_Interfaces!$B:$B,$A298,Integraciones_Interfaces!$N:$N,"Activa"))</f>
        <v/>
      </c>
      <c r="AE298" s="2">
        <f>IF($A298="","",COUNTIF(Componentes!$B:$B,$A298))</f>
        <v/>
      </c>
      <c r="AO298" s="2">
        <f>IF(OR($A298="",$AN298="",$Y298="",$Y298=0),"",ROUND($AN298/$Y298,0))</f>
        <v/>
      </c>
    </row>
    <row r="299">
      <c r="AD299" s="2">
        <f>IF($A299="","",COUNTIFS(Integraciones_Interfaces!$B:$B,$A299,Integraciones_Interfaces!$N:$N,"Activa"))</f>
        <v/>
      </c>
      <c r="AE299" s="2">
        <f>IF($A299="","",COUNTIF(Componentes!$B:$B,$A299))</f>
        <v/>
      </c>
      <c r="AO299" s="2">
        <f>IF(OR($A299="",$AN299="",$Y299="",$Y299=0),"",ROUND($AN299/$Y299,0))</f>
        <v/>
      </c>
    </row>
    <row r="300">
      <c r="AD300" s="2">
        <f>IF($A300="","",COUNTIFS(Integraciones_Interfaces!$B:$B,$A300,Integraciones_Interfaces!$N:$N,"Activa"))</f>
        <v/>
      </c>
      <c r="AE300" s="2">
        <f>IF($A300="","",COUNTIF(Componentes!$B:$B,$A300))</f>
        <v/>
      </c>
      <c r="AO300" s="2">
        <f>IF(OR($A300="",$AN300="",$Y300="",$Y300=0),"",ROUND($AN300/$Y300,0))</f>
        <v/>
      </c>
    </row>
    <row r="301">
      <c r="AD301" s="2">
        <f>IF($A301="","",COUNTIFS(Integraciones_Interfaces!$B:$B,$A301,Integraciones_Interfaces!$N:$N,"Activa"))</f>
        <v/>
      </c>
      <c r="AE301" s="2">
        <f>IF($A301="","",COUNTIF(Componentes!$B:$B,$A301))</f>
        <v/>
      </c>
      <c r="AO301" s="2">
        <f>IF(OR($A301="",$AN301="",$Y301="",$Y301=0),"",ROUND($AN301/$Y301,0))</f>
        <v/>
      </c>
    </row>
    <row r="302">
      <c r="AD302" s="2">
        <f>IF($A302="","",COUNTIFS(Integraciones_Interfaces!$B:$B,$A302,Integraciones_Interfaces!$N:$N,"Activa"))</f>
        <v/>
      </c>
      <c r="AE302" s="2">
        <f>IF($A302="","",COUNTIF(Componentes!$B:$B,$A302))</f>
        <v/>
      </c>
      <c r="AO302" s="2">
        <f>IF(OR($A302="",$AN302="",$Y302="",$Y302=0),"",ROUND($AN302/$Y302,0))</f>
        <v/>
      </c>
    </row>
    <row r="303">
      <c r="AD303" s="2">
        <f>IF($A303="","",COUNTIFS(Integraciones_Interfaces!$B:$B,$A303,Integraciones_Interfaces!$N:$N,"Activa"))</f>
        <v/>
      </c>
      <c r="AE303" s="2">
        <f>IF($A303="","",COUNTIF(Componentes!$B:$B,$A303))</f>
        <v/>
      </c>
      <c r="AO303" s="2">
        <f>IF(OR($A303="",$AN303="",$Y303="",$Y303=0),"",ROUND($AN303/$Y303,0))</f>
        <v/>
      </c>
    </row>
    <row r="304">
      <c r="AD304" s="2">
        <f>IF($A304="","",COUNTIFS(Integraciones_Interfaces!$B:$B,$A304,Integraciones_Interfaces!$N:$N,"Activa"))</f>
        <v/>
      </c>
      <c r="AE304" s="2">
        <f>IF($A304="","",COUNTIF(Componentes!$B:$B,$A304))</f>
        <v/>
      </c>
      <c r="AO304" s="2">
        <f>IF(OR($A304="",$AN304="",$Y304="",$Y304=0),"",ROUND($AN304/$Y304,0))</f>
        <v/>
      </c>
    </row>
    <row r="305">
      <c r="AD305" s="2">
        <f>IF($A305="","",COUNTIFS(Integraciones_Interfaces!$B:$B,$A305,Integraciones_Interfaces!$N:$N,"Activa"))</f>
        <v/>
      </c>
      <c r="AE305" s="2">
        <f>IF($A305="","",COUNTIF(Componentes!$B:$B,$A305))</f>
        <v/>
      </c>
      <c r="AO305" s="2">
        <f>IF(OR($A305="",$AN305="",$Y305="",$Y305=0),"",ROUND($AN305/$Y305,0))</f>
        <v/>
      </c>
    </row>
    <row r="306">
      <c r="AD306" s="2">
        <f>IF($A306="","",COUNTIFS(Integraciones_Interfaces!$B:$B,$A306,Integraciones_Interfaces!$N:$N,"Activa"))</f>
        <v/>
      </c>
      <c r="AE306" s="2">
        <f>IF($A306="","",COUNTIF(Componentes!$B:$B,$A306))</f>
        <v/>
      </c>
      <c r="AO306" s="2">
        <f>IF(OR($A306="",$AN306="",$Y306="",$Y306=0),"",ROUND($AN306/$Y306,0))</f>
        <v/>
      </c>
    </row>
    <row r="307">
      <c r="AD307" s="2">
        <f>IF($A307="","",COUNTIFS(Integraciones_Interfaces!$B:$B,$A307,Integraciones_Interfaces!$N:$N,"Activa"))</f>
        <v/>
      </c>
      <c r="AE307" s="2">
        <f>IF($A307="","",COUNTIF(Componentes!$B:$B,$A307))</f>
        <v/>
      </c>
      <c r="AO307" s="2">
        <f>IF(OR($A307="",$AN307="",$Y307="",$Y307=0),"",ROUND($AN307/$Y307,0))</f>
        <v/>
      </c>
    </row>
    <row r="308">
      <c r="AD308" s="2">
        <f>IF($A308="","",COUNTIFS(Integraciones_Interfaces!$B:$B,$A308,Integraciones_Interfaces!$N:$N,"Activa"))</f>
        <v/>
      </c>
      <c r="AE308" s="2">
        <f>IF($A308="","",COUNTIF(Componentes!$B:$B,$A308))</f>
        <v/>
      </c>
      <c r="AO308" s="2">
        <f>IF(OR($A308="",$AN308="",$Y308="",$Y308=0),"",ROUND($AN308/$Y308,0))</f>
        <v/>
      </c>
    </row>
    <row r="309">
      <c r="AD309" s="2">
        <f>IF($A309="","",COUNTIFS(Integraciones_Interfaces!$B:$B,$A309,Integraciones_Interfaces!$N:$N,"Activa"))</f>
        <v/>
      </c>
      <c r="AE309" s="2">
        <f>IF($A309="","",COUNTIF(Componentes!$B:$B,$A309))</f>
        <v/>
      </c>
      <c r="AO309" s="2">
        <f>IF(OR($A309="",$AN309="",$Y309="",$Y309=0),"",ROUND($AN309/$Y309,0))</f>
        <v/>
      </c>
    </row>
    <row r="310">
      <c r="AD310" s="2">
        <f>IF($A310="","",COUNTIFS(Integraciones_Interfaces!$B:$B,$A310,Integraciones_Interfaces!$N:$N,"Activa"))</f>
        <v/>
      </c>
      <c r="AE310" s="2">
        <f>IF($A310="","",COUNTIF(Componentes!$B:$B,$A310))</f>
        <v/>
      </c>
      <c r="AO310" s="2">
        <f>IF(OR($A310="",$AN310="",$Y310="",$Y310=0),"",ROUND($AN310/$Y310,0))</f>
        <v/>
      </c>
    </row>
    <row r="311">
      <c r="AD311" s="2">
        <f>IF($A311="","",COUNTIFS(Integraciones_Interfaces!$B:$B,$A311,Integraciones_Interfaces!$N:$N,"Activa"))</f>
        <v/>
      </c>
      <c r="AE311" s="2">
        <f>IF($A311="","",COUNTIF(Componentes!$B:$B,$A311))</f>
        <v/>
      </c>
      <c r="AO311" s="2">
        <f>IF(OR($A311="",$AN311="",$Y311="",$Y311=0),"",ROUND($AN311/$Y311,0))</f>
        <v/>
      </c>
    </row>
    <row r="312">
      <c r="AD312" s="2">
        <f>IF($A312="","",COUNTIFS(Integraciones_Interfaces!$B:$B,$A312,Integraciones_Interfaces!$N:$N,"Activa"))</f>
        <v/>
      </c>
      <c r="AE312" s="2">
        <f>IF($A312="","",COUNTIF(Componentes!$B:$B,$A312))</f>
        <v/>
      </c>
      <c r="AO312" s="2">
        <f>IF(OR($A312="",$AN312="",$Y312="",$Y312=0),"",ROUND($AN312/$Y312,0))</f>
        <v/>
      </c>
    </row>
    <row r="313">
      <c r="AD313" s="2">
        <f>IF($A313="","",COUNTIFS(Integraciones_Interfaces!$B:$B,$A313,Integraciones_Interfaces!$N:$N,"Activa"))</f>
        <v/>
      </c>
      <c r="AE313" s="2">
        <f>IF($A313="","",COUNTIF(Componentes!$B:$B,$A313))</f>
        <v/>
      </c>
      <c r="AO313" s="2">
        <f>IF(OR($A313="",$AN313="",$Y313="",$Y313=0),"",ROUND($AN313/$Y313,0))</f>
        <v/>
      </c>
    </row>
    <row r="314">
      <c r="AD314" s="2">
        <f>IF($A314="","",COUNTIFS(Integraciones_Interfaces!$B:$B,$A314,Integraciones_Interfaces!$N:$N,"Activa"))</f>
        <v/>
      </c>
      <c r="AE314" s="2">
        <f>IF($A314="","",COUNTIF(Componentes!$B:$B,$A314))</f>
        <v/>
      </c>
      <c r="AO314" s="2">
        <f>IF(OR($A314="",$AN314="",$Y314="",$Y314=0),"",ROUND($AN314/$Y314,0))</f>
        <v/>
      </c>
    </row>
    <row r="315">
      <c r="AD315" s="2">
        <f>IF($A315="","",COUNTIFS(Integraciones_Interfaces!$B:$B,$A315,Integraciones_Interfaces!$N:$N,"Activa"))</f>
        <v/>
      </c>
      <c r="AE315" s="2">
        <f>IF($A315="","",COUNTIF(Componentes!$B:$B,$A315))</f>
        <v/>
      </c>
      <c r="AO315" s="2">
        <f>IF(OR($A315="",$AN315="",$Y315="",$Y315=0),"",ROUND($AN315/$Y315,0))</f>
        <v/>
      </c>
    </row>
    <row r="316">
      <c r="AD316" s="2">
        <f>IF($A316="","",COUNTIFS(Integraciones_Interfaces!$B:$B,$A316,Integraciones_Interfaces!$N:$N,"Activa"))</f>
        <v/>
      </c>
      <c r="AE316" s="2">
        <f>IF($A316="","",COUNTIF(Componentes!$B:$B,$A316))</f>
        <v/>
      </c>
      <c r="AO316" s="2">
        <f>IF(OR($A316="",$AN316="",$Y316="",$Y316=0),"",ROUND($AN316/$Y316,0))</f>
        <v/>
      </c>
    </row>
    <row r="317">
      <c r="AD317" s="2">
        <f>IF($A317="","",COUNTIFS(Integraciones_Interfaces!$B:$B,$A317,Integraciones_Interfaces!$N:$N,"Activa"))</f>
        <v/>
      </c>
      <c r="AE317" s="2">
        <f>IF($A317="","",COUNTIF(Componentes!$B:$B,$A317))</f>
        <v/>
      </c>
      <c r="AO317" s="2">
        <f>IF(OR($A317="",$AN317="",$Y317="",$Y317=0),"",ROUND($AN317/$Y317,0))</f>
        <v/>
      </c>
    </row>
    <row r="318">
      <c r="AD318" s="2">
        <f>IF($A318="","",COUNTIFS(Integraciones_Interfaces!$B:$B,$A318,Integraciones_Interfaces!$N:$N,"Activa"))</f>
        <v/>
      </c>
      <c r="AE318" s="2">
        <f>IF($A318="","",COUNTIF(Componentes!$B:$B,$A318))</f>
        <v/>
      </c>
      <c r="AO318" s="2">
        <f>IF(OR($A318="",$AN318="",$Y318="",$Y318=0),"",ROUND($AN318/$Y318,0))</f>
        <v/>
      </c>
    </row>
    <row r="319">
      <c r="AD319" s="2">
        <f>IF($A319="","",COUNTIFS(Integraciones_Interfaces!$B:$B,$A319,Integraciones_Interfaces!$N:$N,"Activa"))</f>
        <v/>
      </c>
      <c r="AE319" s="2">
        <f>IF($A319="","",COUNTIF(Componentes!$B:$B,$A319))</f>
        <v/>
      </c>
      <c r="AO319" s="2">
        <f>IF(OR($A319="",$AN319="",$Y319="",$Y319=0),"",ROUND($AN319/$Y319,0))</f>
        <v/>
      </c>
    </row>
    <row r="320">
      <c r="AD320" s="2">
        <f>IF($A320="","",COUNTIFS(Integraciones_Interfaces!$B:$B,$A320,Integraciones_Interfaces!$N:$N,"Activa"))</f>
        <v/>
      </c>
      <c r="AE320" s="2">
        <f>IF($A320="","",COUNTIF(Componentes!$B:$B,$A320))</f>
        <v/>
      </c>
      <c r="AO320" s="2">
        <f>IF(OR($A320="",$AN320="",$Y320="",$Y320=0),"",ROUND($AN320/$Y320,0))</f>
        <v/>
      </c>
    </row>
    <row r="321">
      <c r="AD321" s="2">
        <f>IF($A321="","",COUNTIFS(Integraciones_Interfaces!$B:$B,$A321,Integraciones_Interfaces!$N:$N,"Activa"))</f>
        <v/>
      </c>
      <c r="AE321" s="2">
        <f>IF($A321="","",COUNTIF(Componentes!$B:$B,$A321))</f>
        <v/>
      </c>
      <c r="AO321" s="2">
        <f>IF(OR($A321="",$AN321="",$Y321="",$Y321=0),"",ROUND($AN321/$Y321,0))</f>
        <v/>
      </c>
    </row>
    <row r="322">
      <c r="AD322" s="2">
        <f>IF($A322="","",COUNTIFS(Integraciones_Interfaces!$B:$B,$A322,Integraciones_Interfaces!$N:$N,"Activa"))</f>
        <v/>
      </c>
      <c r="AE322" s="2">
        <f>IF($A322="","",COUNTIF(Componentes!$B:$B,$A322))</f>
        <v/>
      </c>
      <c r="AO322" s="2">
        <f>IF(OR($A322="",$AN322="",$Y322="",$Y322=0),"",ROUND($AN322/$Y322,0))</f>
        <v/>
      </c>
    </row>
    <row r="323">
      <c r="AD323" s="2">
        <f>IF($A323="","",COUNTIFS(Integraciones_Interfaces!$B:$B,$A323,Integraciones_Interfaces!$N:$N,"Activa"))</f>
        <v/>
      </c>
      <c r="AE323" s="2">
        <f>IF($A323="","",COUNTIF(Componentes!$B:$B,$A323))</f>
        <v/>
      </c>
      <c r="AO323" s="2">
        <f>IF(OR($A323="",$AN323="",$Y323="",$Y323=0),"",ROUND($AN323/$Y323,0))</f>
        <v/>
      </c>
    </row>
    <row r="324">
      <c r="AD324" s="2">
        <f>IF($A324="","",COUNTIFS(Integraciones_Interfaces!$B:$B,$A324,Integraciones_Interfaces!$N:$N,"Activa"))</f>
        <v/>
      </c>
      <c r="AE324" s="2">
        <f>IF($A324="","",COUNTIF(Componentes!$B:$B,$A324))</f>
        <v/>
      </c>
      <c r="AO324" s="2">
        <f>IF(OR($A324="",$AN324="",$Y324="",$Y324=0),"",ROUND($AN324/$Y324,0))</f>
        <v/>
      </c>
    </row>
    <row r="325">
      <c r="AD325" s="2">
        <f>IF($A325="","",COUNTIFS(Integraciones_Interfaces!$B:$B,$A325,Integraciones_Interfaces!$N:$N,"Activa"))</f>
        <v/>
      </c>
      <c r="AE325" s="2">
        <f>IF($A325="","",COUNTIF(Componentes!$B:$B,$A325))</f>
        <v/>
      </c>
      <c r="AO325" s="2">
        <f>IF(OR($A325="",$AN325="",$Y325="",$Y325=0),"",ROUND($AN325/$Y325,0))</f>
        <v/>
      </c>
    </row>
    <row r="326">
      <c r="AD326" s="2">
        <f>IF($A326="","",COUNTIFS(Integraciones_Interfaces!$B:$B,$A326,Integraciones_Interfaces!$N:$N,"Activa"))</f>
        <v/>
      </c>
      <c r="AE326" s="2">
        <f>IF($A326="","",COUNTIF(Componentes!$B:$B,$A326))</f>
        <v/>
      </c>
      <c r="AO326" s="2">
        <f>IF(OR($A326="",$AN326="",$Y326="",$Y326=0),"",ROUND($AN326/$Y326,0))</f>
        <v/>
      </c>
    </row>
    <row r="327">
      <c r="AD327" s="2">
        <f>IF($A327="","",COUNTIFS(Integraciones_Interfaces!$B:$B,$A327,Integraciones_Interfaces!$N:$N,"Activa"))</f>
        <v/>
      </c>
      <c r="AE327" s="2">
        <f>IF($A327="","",COUNTIF(Componentes!$B:$B,$A327))</f>
        <v/>
      </c>
      <c r="AO327" s="2">
        <f>IF(OR($A327="",$AN327="",$Y327="",$Y327=0),"",ROUND($AN327/$Y327,0))</f>
        <v/>
      </c>
    </row>
    <row r="328">
      <c r="AD328" s="2">
        <f>IF($A328="","",COUNTIFS(Integraciones_Interfaces!$B:$B,$A328,Integraciones_Interfaces!$N:$N,"Activa"))</f>
        <v/>
      </c>
      <c r="AE328" s="2">
        <f>IF($A328="","",COUNTIF(Componentes!$B:$B,$A328))</f>
        <v/>
      </c>
      <c r="AO328" s="2">
        <f>IF(OR($A328="",$AN328="",$Y328="",$Y328=0),"",ROUND($AN328/$Y328,0))</f>
        <v/>
      </c>
    </row>
    <row r="329">
      <c r="AD329" s="2">
        <f>IF($A329="","",COUNTIFS(Integraciones_Interfaces!$B:$B,$A329,Integraciones_Interfaces!$N:$N,"Activa"))</f>
        <v/>
      </c>
      <c r="AE329" s="2">
        <f>IF($A329="","",COUNTIF(Componentes!$B:$B,$A329))</f>
        <v/>
      </c>
      <c r="AO329" s="2">
        <f>IF(OR($A329="",$AN329="",$Y329="",$Y329=0),"",ROUND($AN329/$Y329,0))</f>
        <v/>
      </c>
    </row>
    <row r="330">
      <c r="AD330" s="2">
        <f>IF($A330="","",COUNTIFS(Integraciones_Interfaces!$B:$B,$A330,Integraciones_Interfaces!$N:$N,"Activa"))</f>
        <v/>
      </c>
      <c r="AE330" s="2">
        <f>IF($A330="","",COUNTIF(Componentes!$B:$B,$A330))</f>
        <v/>
      </c>
      <c r="AO330" s="2">
        <f>IF(OR($A330="",$AN330="",$Y330="",$Y330=0),"",ROUND($AN330/$Y330,0))</f>
        <v/>
      </c>
    </row>
    <row r="331">
      <c r="AD331" s="2">
        <f>IF($A331="","",COUNTIFS(Integraciones_Interfaces!$B:$B,$A331,Integraciones_Interfaces!$N:$N,"Activa"))</f>
        <v/>
      </c>
      <c r="AE331" s="2">
        <f>IF($A331="","",COUNTIF(Componentes!$B:$B,$A331))</f>
        <v/>
      </c>
      <c r="AO331" s="2">
        <f>IF(OR($A331="",$AN331="",$Y331="",$Y331=0),"",ROUND($AN331/$Y331,0))</f>
        <v/>
      </c>
    </row>
    <row r="332">
      <c r="AD332" s="2">
        <f>IF($A332="","",COUNTIFS(Integraciones_Interfaces!$B:$B,$A332,Integraciones_Interfaces!$N:$N,"Activa"))</f>
        <v/>
      </c>
      <c r="AE332" s="2">
        <f>IF($A332="","",COUNTIF(Componentes!$B:$B,$A332))</f>
        <v/>
      </c>
      <c r="AO332" s="2">
        <f>IF(OR($A332="",$AN332="",$Y332="",$Y332=0),"",ROUND($AN332/$Y332,0))</f>
        <v/>
      </c>
    </row>
    <row r="333">
      <c r="AD333" s="2">
        <f>IF($A333="","",COUNTIFS(Integraciones_Interfaces!$B:$B,$A333,Integraciones_Interfaces!$N:$N,"Activa"))</f>
        <v/>
      </c>
      <c r="AE333" s="2">
        <f>IF($A333="","",COUNTIF(Componentes!$B:$B,$A333))</f>
        <v/>
      </c>
      <c r="AO333" s="2">
        <f>IF(OR($A333="",$AN333="",$Y333="",$Y333=0),"",ROUND($AN333/$Y333,0))</f>
        <v/>
      </c>
    </row>
    <row r="334">
      <c r="AD334" s="2">
        <f>IF($A334="","",COUNTIFS(Integraciones_Interfaces!$B:$B,$A334,Integraciones_Interfaces!$N:$N,"Activa"))</f>
        <v/>
      </c>
      <c r="AE334" s="2">
        <f>IF($A334="","",COUNTIF(Componentes!$B:$B,$A334))</f>
        <v/>
      </c>
      <c r="AO334" s="2">
        <f>IF(OR($A334="",$AN334="",$Y334="",$Y334=0),"",ROUND($AN334/$Y334,0))</f>
        <v/>
      </c>
    </row>
    <row r="335">
      <c r="AD335" s="2">
        <f>IF($A335="","",COUNTIFS(Integraciones_Interfaces!$B:$B,$A335,Integraciones_Interfaces!$N:$N,"Activa"))</f>
        <v/>
      </c>
      <c r="AE335" s="2">
        <f>IF($A335="","",COUNTIF(Componentes!$B:$B,$A335))</f>
        <v/>
      </c>
      <c r="AO335" s="2">
        <f>IF(OR($A335="",$AN335="",$Y335="",$Y335=0),"",ROUND($AN335/$Y335,0))</f>
        <v/>
      </c>
    </row>
    <row r="336">
      <c r="AD336" s="2">
        <f>IF($A336="","",COUNTIFS(Integraciones_Interfaces!$B:$B,$A336,Integraciones_Interfaces!$N:$N,"Activa"))</f>
        <v/>
      </c>
      <c r="AE336" s="2">
        <f>IF($A336="","",COUNTIF(Componentes!$B:$B,$A336))</f>
        <v/>
      </c>
      <c r="AO336" s="2">
        <f>IF(OR($A336="",$AN336="",$Y336="",$Y336=0),"",ROUND($AN336/$Y336,0))</f>
        <v/>
      </c>
    </row>
    <row r="337">
      <c r="AD337" s="2">
        <f>IF($A337="","",COUNTIFS(Integraciones_Interfaces!$B:$B,$A337,Integraciones_Interfaces!$N:$N,"Activa"))</f>
        <v/>
      </c>
      <c r="AE337" s="2">
        <f>IF($A337="","",COUNTIF(Componentes!$B:$B,$A337))</f>
        <v/>
      </c>
      <c r="AO337" s="2">
        <f>IF(OR($A337="",$AN337="",$Y337="",$Y337=0),"",ROUND($AN337/$Y337,0))</f>
        <v/>
      </c>
    </row>
    <row r="338">
      <c r="AD338" s="2">
        <f>IF($A338="","",COUNTIFS(Integraciones_Interfaces!$B:$B,$A338,Integraciones_Interfaces!$N:$N,"Activa"))</f>
        <v/>
      </c>
      <c r="AE338" s="2">
        <f>IF($A338="","",COUNTIF(Componentes!$B:$B,$A338))</f>
        <v/>
      </c>
      <c r="AO338" s="2">
        <f>IF(OR($A338="",$AN338="",$Y338="",$Y338=0),"",ROUND($AN338/$Y338,0))</f>
        <v/>
      </c>
    </row>
    <row r="339">
      <c r="AD339" s="2">
        <f>IF($A339="","",COUNTIFS(Integraciones_Interfaces!$B:$B,$A339,Integraciones_Interfaces!$N:$N,"Activa"))</f>
        <v/>
      </c>
      <c r="AE339" s="2">
        <f>IF($A339="","",COUNTIF(Componentes!$B:$B,$A339))</f>
        <v/>
      </c>
      <c r="AO339" s="2">
        <f>IF(OR($A339="",$AN339="",$Y339="",$Y339=0),"",ROUND($AN339/$Y339,0))</f>
        <v/>
      </c>
    </row>
    <row r="340">
      <c r="AD340" s="2">
        <f>IF($A340="","",COUNTIFS(Integraciones_Interfaces!$B:$B,$A340,Integraciones_Interfaces!$N:$N,"Activa"))</f>
        <v/>
      </c>
      <c r="AE340" s="2">
        <f>IF($A340="","",COUNTIF(Componentes!$B:$B,$A340))</f>
        <v/>
      </c>
      <c r="AO340" s="2">
        <f>IF(OR($A340="",$AN340="",$Y340="",$Y340=0),"",ROUND($AN340/$Y340,0))</f>
        <v/>
      </c>
    </row>
    <row r="341">
      <c r="AD341" s="2">
        <f>IF($A341="","",COUNTIFS(Integraciones_Interfaces!$B:$B,$A341,Integraciones_Interfaces!$N:$N,"Activa"))</f>
        <v/>
      </c>
      <c r="AE341" s="2">
        <f>IF($A341="","",COUNTIF(Componentes!$B:$B,$A341))</f>
        <v/>
      </c>
      <c r="AO341" s="2">
        <f>IF(OR($A341="",$AN341="",$Y341="",$Y341=0),"",ROUND($AN341/$Y341,0))</f>
        <v/>
      </c>
    </row>
    <row r="342">
      <c r="AD342" s="2">
        <f>IF($A342="","",COUNTIFS(Integraciones_Interfaces!$B:$B,$A342,Integraciones_Interfaces!$N:$N,"Activa"))</f>
        <v/>
      </c>
      <c r="AE342" s="2">
        <f>IF($A342="","",COUNTIF(Componentes!$B:$B,$A342))</f>
        <v/>
      </c>
      <c r="AO342" s="2">
        <f>IF(OR($A342="",$AN342="",$Y342="",$Y342=0),"",ROUND($AN342/$Y342,0))</f>
        <v/>
      </c>
    </row>
    <row r="343">
      <c r="AD343" s="2">
        <f>IF($A343="","",COUNTIFS(Integraciones_Interfaces!$B:$B,$A343,Integraciones_Interfaces!$N:$N,"Activa"))</f>
        <v/>
      </c>
      <c r="AE343" s="2">
        <f>IF($A343="","",COUNTIF(Componentes!$B:$B,$A343))</f>
        <v/>
      </c>
      <c r="AO343" s="2">
        <f>IF(OR($A343="",$AN343="",$Y343="",$Y343=0),"",ROUND($AN343/$Y343,0))</f>
        <v/>
      </c>
    </row>
    <row r="344">
      <c r="AD344" s="2">
        <f>IF($A344="","",COUNTIFS(Integraciones_Interfaces!$B:$B,$A344,Integraciones_Interfaces!$N:$N,"Activa"))</f>
        <v/>
      </c>
      <c r="AE344" s="2">
        <f>IF($A344="","",COUNTIF(Componentes!$B:$B,$A344))</f>
        <v/>
      </c>
      <c r="AO344" s="2">
        <f>IF(OR($A344="",$AN344="",$Y344="",$Y344=0),"",ROUND($AN344/$Y344,0))</f>
        <v/>
      </c>
    </row>
    <row r="345">
      <c r="AD345" s="2">
        <f>IF($A345="","",COUNTIFS(Integraciones_Interfaces!$B:$B,$A345,Integraciones_Interfaces!$N:$N,"Activa"))</f>
        <v/>
      </c>
      <c r="AE345" s="2">
        <f>IF($A345="","",COUNTIF(Componentes!$B:$B,$A345))</f>
        <v/>
      </c>
      <c r="AO345" s="2">
        <f>IF(OR($A345="",$AN345="",$Y345="",$Y345=0),"",ROUND($AN345/$Y345,0))</f>
        <v/>
      </c>
    </row>
    <row r="346">
      <c r="AD346" s="2">
        <f>IF($A346="","",COUNTIFS(Integraciones_Interfaces!$B:$B,$A346,Integraciones_Interfaces!$N:$N,"Activa"))</f>
        <v/>
      </c>
      <c r="AE346" s="2">
        <f>IF($A346="","",COUNTIF(Componentes!$B:$B,$A346))</f>
        <v/>
      </c>
      <c r="AO346" s="2">
        <f>IF(OR($A346="",$AN346="",$Y346="",$Y346=0),"",ROUND($AN346/$Y346,0))</f>
        <v/>
      </c>
    </row>
    <row r="347">
      <c r="AD347" s="2">
        <f>IF($A347="","",COUNTIFS(Integraciones_Interfaces!$B:$B,$A347,Integraciones_Interfaces!$N:$N,"Activa"))</f>
        <v/>
      </c>
      <c r="AE347" s="2">
        <f>IF($A347="","",COUNTIF(Componentes!$B:$B,$A347))</f>
        <v/>
      </c>
      <c r="AO347" s="2">
        <f>IF(OR($A347="",$AN347="",$Y347="",$Y347=0),"",ROUND($AN347/$Y347,0))</f>
        <v/>
      </c>
    </row>
    <row r="348">
      <c r="AD348" s="2">
        <f>IF($A348="","",COUNTIFS(Integraciones_Interfaces!$B:$B,$A348,Integraciones_Interfaces!$N:$N,"Activa"))</f>
        <v/>
      </c>
      <c r="AE348" s="2">
        <f>IF($A348="","",COUNTIF(Componentes!$B:$B,$A348))</f>
        <v/>
      </c>
      <c r="AO348" s="2">
        <f>IF(OR($A348="",$AN348="",$Y348="",$Y348=0),"",ROUND($AN348/$Y348,0))</f>
        <v/>
      </c>
    </row>
    <row r="349">
      <c r="AD349" s="2">
        <f>IF($A349="","",COUNTIFS(Integraciones_Interfaces!$B:$B,$A349,Integraciones_Interfaces!$N:$N,"Activa"))</f>
        <v/>
      </c>
      <c r="AE349" s="2">
        <f>IF($A349="","",COUNTIF(Componentes!$B:$B,$A349))</f>
        <v/>
      </c>
      <c r="AO349" s="2">
        <f>IF(OR($A349="",$AN349="",$Y349="",$Y349=0),"",ROUND($AN349/$Y349,0))</f>
        <v/>
      </c>
    </row>
    <row r="350">
      <c r="AD350" s="2">
        <f>IF($A350="","",COUNTIFS(Integraciones_Interfaces!$B:$B,$A350,Integraciones_Interfaces!$N:$N,"Activa"))</f>
        <v/>
      </c>
      <c r="AE350" s="2">
        <f>IF($A350="","",COUNTIF(Componentes!$B:$B,$A350))</f>
        <v/>
      </c>
      <c r="AO350" s="2">
        <f>IF(OR($A350="",$AN350="",$Y350="",$Y350=0),"",ROUND($AN350/$Y350,0))</f>
        <v/>
      </c>
    </row>
    <row r="351">
      <c r="AD351" s="2">
        <f>IF($A351="","",COUNTIFS(Integraciones_Interfaces!$B:$B,$A351,Integraciones_Interfaces!$N:$N,"Activa"))</f>
        <v/>
      </c>
      <c r="AE351" s="2">
        <f>IF($A351="","",COUNTIF(Componentes!$B:$B,$A351))</f>
        <v/>
      </c>
      <c r="AO351" s="2">
        <f>IF(OR($A351="",$AN351="",$Y351="",$Y351=0),"",ROUND($AN351/$Y351,0))</f>
        <v/>
      </c>
    </row>
    <row r="352">
      <c r="AD352" s="2">
        <f>IF($A352="","",COUNTIFS(Integraciones_Interfaces!$B:$B,$A352,Integraciones_Interfaces!$N:$N,"Activa"))</f>
        <v/>
      </c>
      <c r="AE352" s="2">
        <f>IF($A352="","",COUNTIF(Componentes!$B:$B,$A352))</f>
        <v/>
      </c>
      <c r="AO352" s="2">
        <f>IF(OR($A352="",$AN352="",$Y352="",$Y352=0),"",ROUND($AN352/$Y352,0))</f>
        <v/>
      </c>
    </row>
    <row r="353">
      <c r="AD353" s="2">
        <f>IF($A353="","",COUNTIFS(Integraciones_Interfaces!$B:$B,$A353,Integraciones_Interfaces!$N:$N,"Activa"))</f>
        <v/>
      </c>
      <c r="AE353" s="2">
        <f>IF($A353="","",COUNTIF(Componentes!$B:$B,$A353))</f>
        <v/>
      </c>
      <c r="AO353" s="2">
        <f>IF(OR($A353="",$AN353="",$Y353="",$Y353=0),"",ROUND($AN353/$Y353,0))</f>
        <v/>
      </c>
    </row>
    <row r="354">
      <c r="AD354" s="2">
        <f>IF($A354="","",COUNTIFS(Integraciones_Interfaces!$B:$B,$A354,Integraciones_Interfaces!$N:$N,"Activa"))</f>
        <v/>
      </c>
      <c r="AE354" s="2">
        <f>IF($A354="","",COUNTIF(Componentes!$B:$B,$A354))</f>
        <v/>
      </c>
      <c r="AO354" s="2">
        <f>IF(OR($A354="",$AN354="",$Y354="",$Y354=0),"",ROUND($AN354/$Y354,0))</f>
        <v/>
      </c>
    </row>
    <row r="355">
      <c r="AD355" s="2">
        <f>IF($A355="","",COUNTIFS(Integraciones_Interfaces!$B:$B,$A355,Integraciones_Interfaces!$N:$N,"Activa"))</f>
        <v/>
      </c>
      <c r="AE355" s="2">
        <f>IF($A355="","",COUNTIF(Componentes!$B:$B,$A355))</f>
        <v/>
      </c>
      <c r="AO355" s="2">
        <f>IF(OR($A355="",$AN355="",$Y355="",$Y355=0),"",ROUND($AN355/$Y355,0))</f>
        <v/>
      </c>
    </row>
    <row r="356">
      <c r="AD356" s="2">
        <f>IF($A356="","",COUNTIFS(Integraciones_Interfaces!$B:$B,$A356,Integraciones_Interfaces!$N:$N,"Activa"))</f>
        <v/>
      </c>
      <c r="AE356" s="2">
        <f>IF($A356="","",COUNTIF(Componentes!$B:$B,$A356))</f>
        <v/>
      </c>
      <c r="AO356" s="2">
        <f>IF(OR($A356="",$AN356="",$Y356="",$Y356=0),"",ROUND($AN356/$Y356,0))</f>
        <v/>
      </c>
    </row>
    <row r="357">
      <c r="AD357" s="2">
        <f>IF($A357="","",COUNTIFS(Integraciones_Interfaces!$B:$B,$A357,Integraciones_Interfaces!$N:$N,"Activa"))</f>
        <v/>
      </c>
      <c r="AE357" s="2">
        <f>IF($A357="","",COUNTIF(Componentes!$B:$B,$A357))</f>
        <v/>
      </c>
      <c r="AO357" s="2">
        <f>IF(OR($A357="",$AN357="",$Y357="",$Y357=0),"",ROUND($AN357/$Y357,0))</f>
        <v/>
      </c>
    </row>
    <row r="358">
      <c r="AD358" s="2">
        <f>IF($A358="","",COUNTIFS(Integraciones_Interfaces!$B:$B,$A358,Integraciones_Interfaces!$N:$N,"Activa"))</f>
        <v/>
      </c>
      <c r="AE358" s="2">
        <f>IF($A358="","",COUNTIF(Componentes!$B:$B,$A358))</f>
        <v/>
      </c>
      <c r="AO358" s="2">
        <f>IF(OR($A358="",$AN358="",$Y358="",$Y358=0),"",ROUND($AN358/$Y358,0))</f>
        <v/>
      </c>
    </row>
    <row r="359">
      <c r="AD359" s="2">
        <f>IF($A359="","",COUNTIFS(Integraciones_Interfaces!$B:$B,$A359,Integraciones_Interfaces!$N:$N,"Activa"))</f>
        <v/>
      </c>
      <c r="AE359" s="2">
        <f>IF($A359="","",COUNTIF(Componentes!$B:$B,$A359))</f>
        <v/>
      </c>
      <c r="AO359" s="2">
        <f>IF(OR($A359="",$AN359="",$Y359="",$Y359=0),"",ROUND($AN359/$Y359,0))</f>
        <v/>
      </c>
    </row>
    <row r="360">
      <c r="AD360" s="2">
        <f>IF($A360="","",COUNTIFS(Integraciones_Interfaces!$B:$B,$A360,Integraciones_Interfaces!$N:$N,"Activa"))</f>
        <v/>
      </c>
      <c r="AE360" s="2">
        <f>IF($A360="","",COUNTIF(Componentes!$B:$B,$A360))</f>
        <v/>
      </c>
      <c r="AO360" s="2">
        <f>IF(OR($A360="",$AN360="",$Y360="",$Y360=0),"",ROUND($AN360/$Y360,0))</f>
        <v/>
      </c>
    </row>
    <row r="361">
      <c r="AD361" s="2">
        <f>IF($A361="","",COUNTIFS(Integraciones_Interfaces!$B:$B,$A361,Integraciones_Interfaces!$N:$N,"Activa"))</f>
        <v/>
      </c>
      <c r="AE361" s="2">
        <f>IF($A361="","",COUNTIF(Componentes!$B:$B,$A361))</f>
        <v/>
      </c>
      <c r="AO361" s="2">
        <f>IF(OR($A361="",$AN361="",$Y361="",$Y361=0),"",ROUND($AN361/$Y361,0))</f>
        <v/>
      </c>
    </row>
    <row r="362">
      <c r="AD362" s="2">
        <f>IF($A362="","",COUNTIFS(Integraciones_Interfaces!$B:$B,$A362,Integraciones_Interfaces!$N:$N,"Activa"))</f>
        <v/>
      </c>
      <c r="AE362" s="2">
        <f>IF($A362="","",COUNTIF(Componentes!$B:$B,$A362))</f>
        <v/>
      </c>
      <c r="AO362" s="2">
        <f>IF(OR($A362="",$AN362="",$Y362="",$Y362=0),"",ROUND($AN362/$Y362,0))</f>
        <v/>
      </c>
    </row>
    <row r="363">
      <c r="AD363" s="2">
        <f>IF($A363="","",COUNTIFS(Integraciones_Interfaces!$B:$B,$A363,Integraciones_Interfaces!$N:$N,"Activa"))</f>
        <v/>
      </c>
      <c r="AE363" s="2">
        <f>IF($A363="","",COUNTIF(Componentes!$B:$B,$A363))</f>
        <v/>
      </c>
      <c r="AO363" s="2">
        <f>IF(OR($A363="",$AN363="",$Y363="",$Y363=0),"",ROUND($AN363/$Y363,0))</f>
        <v/>
      </c>
    </row>
    <row r="364">
      <c r="AD364" s="2">
        <f>IF($A364="","",COUNTIFS(Integraciones_Interfaces!$B:$B,$A364,Integraciones_Interfaces!$N:$N,"Activa"))</f>
        <v/>
      </c>
      <c r="AE364" s="2">
        <f>IF($A364="","",COUNTIF(Componentes!$B:$B,$A364))</f>
        <v/>
      </c>
      <c r="AO364" s="2">
        <f>IF(OR($A364="",$AN364="",$Y364="",$Y364=0),"",ROUND($AN364/$Y364,0))</f>
        <v/>
      </c>
    </row>
    <row r="365">
      <c r="AD365" s="2">
        <f>IF($A365="","",COUNTIFS(Integraciones_Interfaces!$B:$B,$A365,Integraciones_Interfaces!$N:$N,"Activa"))</f>
        <v/>
      </c>
      <c r="AE365" s="2">
        <f>IF($A365="","",COUNTIF(Componentes!$B:$B,$A365))</f>
        <v/>
      </c>
      <c r="AO365" s="2">
        <f>IF(OR($A365="",$AN365="",$Y365="",$Y365=0),"",ROUND($AN365/$Y365,0))</f>
        <v/>
      </c>
    </row>
    <row r="366">
      <c r="AD366" s="2">
        <f>IF($A366="","",COUNTIFS(Integraciones_Interfaces!$B:$B,$A366,Integraciones_Interfaces!$N:$N,"Activa"))</f>
        <v/>
      </c>
      <c r="AE366" s="2">
        <f>IF($A366="","",COUNTIF(Componentes!$B:$B,$A366))</f>
        <v/>
      </c>
      <c r="AO366" s="2">
        <f>IF(OR($A366="",$AN366="",$Y366="",$Y366=0),"",ROUND($AN366/$Y366,0))</f>
        <v/>
      </c>
    </row>
    <row r="367">
      <c r="AD367" s="2">
        <f>IF($A367="","",COUNTIFS(Integraciones_Interfaces!$B:$B,$A367,Integraciones_Interfaces!$N:$N,"Activa"))</f>
        <v/>
      </c>
      <c r="AE367" s="2">
        <f>IF($A367="","",COUNTIF(Componentes!$B:$B,$A367))</f>
        <v/>
      </c>
      <c r="AO367" s="2">
        <f>IF(OR($A367="",$AN367="",$Y367="",$Y367=0),"",ROUND($AN367/$Y367,0))</f>
        <v/>
      </c>
    </row>
    <row r="368">
      <c r="AD368" s="2">
        <f>IF($A368="","",COUNTIFS(Integraciones_Interfaces!$B:$B,$A368,Integraciones_Interfaces!$N:$N,"Activa"))</f>
        <v/>
      </c>
      <c r="AE368" s="2">
        <f>IF($A368="","",COUNTIF(Componentes!$B:$B,$A368))</f>
        <v/>
      </c>
      <c r="AO368" s="2">
        <f>IF(OR($A368="",$AN368="",$Y368="",$Y368=0),"",ROUND($AN368/$Y368,0))</f>
        <v/>
      </c>
    </row>
    <row r="369">
      <c r="AD369" s="2">
        <f>IF($A369="","",COUNTIFS(Integraciones_Interfaces!$B:$B,$A369,Integraciones_Interfaces!$N:$N,"Activa"))</f>
        <v/>
      </c>
      <c r="AE369" s="2">
        <f>IF($A369="","",COUNTIF(Componentes!$B:$B,$A369))</f>
        <v/>
      </c>
      <c r="AO369" s="2">
        <f>IF(OR($A369="",$AN369="",$Y369="",$Y369=0),"",ROUND($AN369/$Y369,0))</f>
        <v/>
      </c>
    </row>
    <row r="370">
      <c r="AD370" s="2">
        <f>IF($A370="","",COUNTIFS(Integraciones_Interfaces!$B:$B,$A370,Integraciones_Interfaces!$N:$N,"Activa"))</f>
        <v/>
      </c>
      <c r="AE370" s="2">
        <f>IF($A370="","",COUNTIF(Componentes!$B:$B,$A370))</f>
        <v/>
      </c>
      <c r="AO370" s="2">
        <f>IF(OR($A370="",$AN370="",$Y370="",$Y370=0),"",ROUND($AN370/$Y370,0))</f>
        <v/>
      </c>
    </row>
    <row r="371">
      <c r="AD371" s="2">
        <f>IF($A371="","",COUNTIFS(Integraciones_Interfaces!$B:$B,$A371,Integraciones_Interfaces!$N:$N,"Activa"))</f>
        <v/>
      </c>
      <c r="AE371" s="2">
        <f>IF($A371="","",COUNTIF(Componentes!$B:$B,$A371))</f>
        <v/>
      </c>
      <c r="AO371" s="2">
        <f>IF(OR($A371="",$AN371="",$Y371="",$Y371=0),"",ROUND($AN371/$Y371,0))</f>
        <v/>
      </c>
    </row>
    <row r="372">
      <c r="AD372" s="2">
        <f>IF($A372="","",COUNTIFS(Integraciones_Interfaces!$B:$B,$A372,Integraciones_Interfaces!$N:$N,"Activa"))</f>
        <v/>
      </c>
      <c r="AE372" s="2">
        <f>IF($A372="","",COUNTIF(Componentes!$B:$B,$A372))</f>
        <v/>
      </c>
      <c r="AO372" s="2">
        <f>IF(OR($A372="",$AN372="",$Y372="",$Y372=0),"",ROUND($AN372/$Y372,0))</f>
        <v/>
      </c>
    </row>
    <row r="373">
      <c r="AD373" s="2">
        <f>IF($A373="","",COUNTIFS(Integraciones_Interfaces!$B:$B,$A373,Integraciones_Interfaces!$N:$N,"Activa"))</f>
        <v/>
      </c>
      <c r="AE373" s="2">
        <f>IF($A373="","",COUNTIF(Componentes!$B:$B,$A373))</f>
        <v/>
      </c>
      <c r="AO373" s="2">
        <f>IF(OR($A373="",$AN373="",$Y373="",$Y373=0),"",ROUND($AN373/$Y373,0))</f>
        <v/>
      </c>
    </row>
    <row r="374">
      <c r="AD374" s="2">
        <f>IF($A374="","",COUNTIFS(Integraciones_Interfaces!$B:$B,$A374,Integraciones_Interfaces!$N:$N,"Activa"))</f>
        <v/>
      </c>
      <c r="AE374" s="2">
        <f>IF($A374="","",COUNTIF(Componentes!$B:$B,$A374))</f>
        <v/>
      </c>
      <c r="AO374" s="2">
        <f>IF(OR($A374="",$AN374="",$Y374="",$Y374=0),"",ROUND($AN374/$Y374,0))</f>
        <v/>
      </c>
    </row>
    <row r="375">
      <c r="AD375" s="2">
        <f>IF($A375="","",COUNTIFS(Integraciones_Interfaces!$B:$B,$A375,Integraciones_Interfaces!$N:$N,"Activa"))</f>
        <v/>
      </c>
      <c r="AE375" s="2">
        <f>IF($A375="","",COUNTIF(Componentes!$B:$B,$A375))</f>
        <v/>
      </c>
      <c r="AO375" s="2">
        <f>IF(OR($A375="",$AN375="",$Y375="",$Y375=0),"",ROUND($AN375/$Y375,0))</f>
        <v/>
      </c>
    </row>
    <row r="376">
      <c r="AD376" s="2">
        <f>IF($A376="","",COUNTIFS(Integraciones_Interfaces!$B:$B,$A376,Integraciones_Interfaces!$N:$N,"Activa"))</f>
        <v/>
      </c>
      <c r="AE376" s="2">
        <f>IF($A376="","",COUNTIF(Componentes!$B:$B,$A376))</f>
        <v/>
      </c>
      <c r="AO376" s="2">
        <f>IF(OR($A376="",$AN376="",$Y376="",$Y376=0),"",ROUND($AN376/$Y376,0))</f>
        <v/>
      </c>
    </row>
    <row r="377">
      <c r="AD377" s="2">
        <f>IF($A377="","",COUNTIFS(Integraciones_Interfaces!$B:$B,$A377,Integraciones_Interfaces!$N:$N,"Activa"))</f>
        <v/>
      </c>
      <c r="AE377" s="2">
        <f>IF($A377="","",COUNTIF(Componentes!$B:$B,$A377))</f>
        <v/>
      </c>
      <c r="AO377" s="2">
        <f>IF(OR($A377="",$AN377="",$Y377="",$Y377=0),"",ROUND($AN377/$Y377,0))</f>
        <v/>
      </c>
    </row>
    <row r="378">
      <c r="AD378" s="2">
        <f>IF($A378="","",COUNTIFS(Integraciones_Interfaces!$B:$B,$A378,Integraciones_Interfaces!$N:$N,"Activa"))</f>
        <v/>
      </c>
      <c r="AE378" s="2">
        <f>IF($A378="","",COUNTIF(Componentes!$B:$B,$A378))</f>
        <v/>
      </c>
      <c r="AO378" s="2">
        <f>IF(OR($A378="",$AN378="",$Y378="",$Y378=0),"",ROUND($AN378/$Y378,0))</f>
        <v/>
      </c>
    </row>
    <row r="379">
      <c r="AD379" s="2">
        <f>IF($A379="","",COUNTIFS(Integraciones_Interfaces!$B:$B,$A379,Integraciones_Interfaces!$N:$N,"Activa"))</f>
        <v/>
      </c>
      <c r="AE379" s="2">
        <f>IF($A379="","",COUNTIF(Componentes!$B:$B,$A379))</f>
        <v/>
      </c>
      <c r="AO379" s="2">
        <f>IF(OR($A379="",$AN379="",$Y379="",$Y379=0),"",ROUND($AN379/$Y379,0))</f>
        <v/>
      </c>
    </row>
    <row r="380">
      <c r="AD380" s="2">
        <f>IF($A380="","",COUNTIFS(Integraciones_Interfaces!$B:$B,$A380,Integraciones_Interfaces!$N:$N,"Activa"))</f>
        <v/>
      </c>
      <c r="AE380" s="2">
        <f>IF($A380="","",COUNTIF(Componentes!$B:$B,$A380))</f>
        <v/>
      </c>
      <c r="AO380" s="2">
        <f>IF(OR($A380="",$AN380="",$Y380="",$Y380=0),"",ROUND($AN380/$Y380,0))</f>
        <v/>
      </c>
    </row>
    <row r="381">
      <c r="AD381" s="2">
        <f>IF($A381="","",COUNTIFS(Integraciones_Interfaces!$B:$B,$A381,Integraciones_Interfaces!$N:$N,"Activa"))</f>
        <v/>
      </c>
      <c r="AE381" s="2">
        <f>IF($A381="","",COUNTIF(Componentes!$B:$B,$A381))</f>
        <v/>
      </c>
      <c r="AO381" s="2">
        <f>IF(OR($A381="",$AN381="",$Y381="",$Y381=0),"",ROUND($AN381/$Y381,0))</f>
        <v/>
      </c>
    </row>
    <row r="382">
      <c r="AD382" s="2">
        <f>IF($A382="","",COUNTIFS(Integraciones_Interfaces!$B:$B,$A382,Integraciones_Interfaces!$N:$N,"Activa"))</f>
        <v/>
      </c>
      <c r="AE382" s="2">
        <f>IF($A382="","",COUNTIF(Componentes!$B:$B,$A382))</f>
        <v/>
      </c>
      <c r="AO382" s="2">
        <f>IF(OR($A382="",$AN382="",$Y382="",$Y382=0),"",ROUND($AN382/$Y382,0))</f>
        <v/>
      </c>
    </row>
    <row r="383">
      <c r="AD383" s="2">
        <f>IF($A383="","",COUNTIFS(Integraciones_Interfaces!$B:$B,$A383,Integraciones_Interfaces!$N:$N,"Activa"))</f>
        <v/>
      </c>
      <c r="AE383" s="2">
        <f>IF($A383="","",COUNTIF(Componentes!$B:$B,$A383))</f>
        <v/>
      </c>
      <c r="AO383" s="2">
        <f>IF(OR($A383="",$AN383="",$Y383="",$Y383=0),"",ROUND($AN383/$Y383,0))</f>
        <v/>
      </c>
    </row>
    <row r="384">
      <c r="AD384" s="2">
        <f>IF($A384="","",COUNTIFS(Integraciones_Interfaces!$B:$B,$A384,Integraciones_Interfaces!$N:$N,"Activa"))</f>
        <v/>
      </c>
      <c r="AE384" s="2">
        <f>IF($A384="","",COUNTIF(Componentes!$B:$B,$A384))</f>
        <v/>
      </c>
      <c r="AO384" s="2">
        <f>IF(OR($A384="",$AN384="",$Y384="",$Y384=0),"",ROUND($AN384/$Y384,0))</f>
        <v/>
      </c>
    </row>
    <row r="385">
      <c r="AD385" s="2">
        <f>IF($A385="","",COUNTIFS(Integraciones_Interfaces!$B:$B,$A385,Integraciones_Interfaces!$N:$N,"Activa"))</f>
        <v/>
      </c>
      <c r="AE385" s="2">
        <f>IF($A385="","",COUNTIF(Componentes!$B:$B,$A385))</f>
        <v/>
      </c>
      <c r="AO385" s="2">
        <f>IF(OR($A385="",$AN385="",$Y385="",$Y385=0),"",ROUND($AN385/$Y385,0))</f>
        <v/>
      </c>
    </row>
    <row r="386">
      <c r="AD386" s="2">
        <f>IF($A386="","",COUNTIFS(Integraciones_Interfaces!$B:$B,$A386,Integraciones_Interfaces!$N:$N,"Activa"))</f>
        <v/>
      </c>
      <c r="AE386" s="2">
        <f>IF($A386="","",COUNTIF(Componentes!$B:$B,$A386))</f>
        <v/>
      </c>
      <c r="AO386" s="2">
        <f>IF(OR($A386="",$AN386="",$Y386="",$Y386=0),"",ROUND($AN386/$Y386,0))</f>
        <v/>
      </c>
    </row>
    <row r="387">
      <c r="AD387" s="2">
        <f>IF($A387="","",COUNTIFS(Integraciones_Interfaces!$B:$B,$A387,Integraciones_Interfaces!$N:$N,"Activa"))</f>
        <v/>
      </c>
      <c r="AE387" s="2">
        <f>IF($A387="","",COUNTIF(Componentes!$B:$B,$A387))</f>
        <v/>
      </c>
      <c r="AO387" s="2">
        <f>IF(OR($A387="",$AN387="",$Y387="",$Y387=0),"",ROUND($AN387/$Y387,0))</f>
        <v/>
      </c>
    </row>
    <row r="388">
      <c r="AD388" s="2">
        <f>IF($A388="","",COUNTIFS(Integraciones_Interfaces!$B:$B,$A388,Integraciones_Interfaces!$N:$N,"Activa"))</f>
        <v/>
      </c>
      <c r="AE388" s="2">
        <f>IF($A388="","",COUNTIF(Componentes!$B:$B,$A388))</f>
        <v/>
      </c>
      <c r="AO388" s="2">
        <f>IF(OR($A388="",$AN388="",$Y388="",$Y388=0),"",ROUND($AN388/$Y388,0))</f>
        <v/>
      </c>
    </row>
    <row r="389">
      <c r="AD389" s="2">
        <f>IF($A389="","",COUNTIFS(Integraciones_Interfaces!$B:$B,$A389,Integraciones_Interfaces!$N:$N,"Activa"))</f>
        <v/>
      </c>
      <c r="AE389" s="2">
        <f>IF($A389="","",COUNTIF(Componentes!$B:$B,$A389))</f>
        <v/>
      </c>
      <c r="AO389" s="2">
        <f>IF(OR($A389="",$AN389="",$Y389="",$Y389=0),"",ROUND($AN389/$Y389,0))</f>
        <v/>
      </c>
    </row>
    <row r="390">
      <c r="AD390" s="2">
        <f>IF($A390="","",COUNTIFS(Integraciones_Interfaces!$B:$B,$A390,Integraciones_Interfaces!$N:$N,"Activa"))</f>
        <v/>
      </c>
      <c r="AE390" s="2">
        <f>IF($A390="","",COUNTIF(Componentes!$B:$B,$A390))</f>
        <v/>
      </c>
      <c r="AO390" s="2">
        <f>IF(OR($A390="",$AN390="",$Y390="",$Y390=0),"",ROUND($AN390/$Y390,0))</f>
        <v/>
      </c>
    </row>
    <row r="391">
      <c r="AD391" s="2">
        <f>IF($A391="","",COUNTIFS(Integraciones_Interfaces!$B:$B,$A391,Integraciones_Interfaces!$N:$N,"Activa"))</f>
        <v/>
      </c>
      <c r="AE391" s="2">
        <f>IF($A391="","",COUNTIF(Componentes!$B:$B,$A391))</f>
        <v/>
      </c>
      <c r="AO391" s="2">
        <f>IF(OR($A391="",$AN391="",$Y391="",$Y391=0),"",ROUND($AN391/$Y391,0))</f>
        <v/>
      </c>
    </row>
    <row r="392">
      <c r="AD392" s="2">
        <f>IF($A392="","",COUNTIFS(Integraciones_Interfaces!$B:$B,$A392,Integraciones_Interfaces!$N:$N,"Activa"))</f>
        <v/>
      </c>
      <c r="AE392" s="2">
        <f>IF($A392="","",COUNTIF(Componentes!$B:$B,$A392))</f>
        <v/>
      </c>
      <c r="AO392" s="2">
        <f>IF(OR($A392="",$AN392="",$Y392="",$Y392=0),"",ROUND($AN392/$Y392,0))</f>
        <v/>
      </c>
    </row>
    <row r="393">
      <c r="AD393" s="2">
        <f>IF($A393="","",COUNTIFS(Integraciones_Interfaces!$B:$B,$A393,Integraciones_Interfaces!$N:$N,"Activa"))</f>
        <v/>
      </c>
      <c r="AE393" s="2">
        <f>IF($A393="","",COUNTIF(Componentes!$B:$B,$A393))</f>
        <v/>
      </c>
      <c r="AO393" s="2">
        <f>IF(OR($A393="",$AN393="",$Y393="",$Y393=0),"",ROUND($AN393/$Y393,0))</f>
        <v/>
      </c>
    </row>
    <row r="394">
      <c r="AD394" s="2">
        <f>IF($A394="","",COUNTIFS(Integraciones_Interfaces!$B:$B,$A394,Integraciones_Interfaces!$N:$N,"Activa"))</f>
        <v/>
      </c>
      <c r="AE394" s="2">
        <f>IF($A394="","",COUNTIF(Componentes!$B:$B,$A394))</f>
        <v/>
      </c>
      <c r="AO394" s="2">
        <f>IF(OR($A394="",$AN394="",$Y394="",$Y394=0),"",ROUND($AN394/$Y394,0))</f>
        <v/>
      </c>
    </row>
    <row r="395">
      <c r="AD395" s="2">
        <f>IF($A395="","",COUNTIFS(Integraciones_Interfaces!$B:$B,$A395,Integraciones_Interfaces!$N:$N,"Activa"))</f>
        <v/>
      </c>
      <c r="AE395" s="2">
        <f>IF($A395="","",COUNTIF(Componentes!$B:$B,$A395))</f>
        <v/>
      </c>
      <c r="AO395" s="2">
        <f>IF(OR($A395="",$AN395="",$Y395="",$Y395=0),"",ROUND($AN395/$Y395,0))</f>
        <v/>
      </c>
    </row>
    <row r="396">
      <c r="AD396" s="2">
        <f>IF($A396="","",COUNTIFS(Integraciones_Interfaces!$B:$B,$A396,Integraciones_Interfaces!$N:$N,"Activa"))</f>
        <v/>
      </c>
      <c r="AE396" s="2">
        <f>IF($A396="","",COUNTIF(Componentes!$B:$B,$A396))</f>
        <v/>
      </c>
      <c r="AO396" s="2">
        <f>IF(OR($A396="",$AN396="",$Y396="",$Y396=0),"",ROUND($AN396/$Y396,0))</f>
        <v/>
      </c>
    </row>
    <row r="397">
      <c r="AD397" s="2">
        <f>IF($A397="","",COUNTIFS(Integraciones_Interfaces!$B:$B,$A397,Integraciones_Interfaces!$N:$N,"Activa"))</f>
        <v/>
      </c>
      <c r="AE397" s="2">
        <f>IF($A397="","",COUNTIF(Componentes!$B:$B,$A397))</f>
        <v/>
      </c>
      <c r="AO397" s="2">
        <f>IF(OR($A397="",$AN397="",$Y397="",$Y397=0),"",ROUND($AN397/$Y397,0))</f>
        <v/>
      </c>
    </row>
    <row r="398">
      <c r="AD398" s="2">
        <f>IF($A398="","",COUNTIFS(Integraciones_Interfaces!$B:$B,$A398,Integraciones_Interfaces!$N:$N,"Activa"))</f>
        <v/>
      </c>
      <c r="AE398" s="2">
        <f>IF($A398="","",COUNTIF(Componentes!$B:$B,$A398))</f>
        <v/>
      </c>
      <c r="AO398" s="2">
        <f>IF(OR($A398="",$AN398="",$Y398="",$Y398=0),"",ROUND($AN398/$Y398,0))</f>
        <v/>
      </c>
    </row>
    <row r="399">
      <c r="AD399" s="2">
        <f>IF($A399="","",COUNTIFS(Integraciones_Interfaces!$B:$B,$A399,Integraciones_Interfaces!$N:$N,"Activa"))</f>
        <v/>
      </c>
      <c r="AE399" s="2">
        <f>IF($A399="","",COUNTIF(Componentes!$B:$B,$A399))</f>
        <v/>
      </c>
      <c r="AO399" s="2">
        <f>IF(OR($A399="",$AN399="",$Y399="",$Y399=0),"",ROUND($AN399/$Y399,0))</f>
        <v/>
      </c>
    </row>
    <row r="400">
      <c r="AD400" s="2">
        <f>IF($A400="","",COUNTIFS(Integraciones_Interfaces!$B:$B,$A400,Integraciones_Interfaces!$N:$N,"Activa"))</f>
        <v/>
      </c>
      <c r="AE400" s="2">
        <f>IF($A400="","",COUNTIF(Componentes!$B:$B,$A400))</f>
        <v/>
      </c>
      <c r="AO400" s="2">
        <f>IF(OR($A400="",$AN400="",$Y400="",$Y400=0),"",ROUND($AN400/$Y400,0))</f>
        <v/>
      </c>
    </row>
    <row r="401">
      <c r="AD401" s="2">
        <f>IF($A401="","",COUNTIFS(Integraciones_Interfaces!$B:$B,$A401,Integraciones_Interfaces!$N:$N,"Activa"))</f>
        <v/>
      </c>
      <c r="AE401" s="2">
        <f>IF($A401="","",COUNTIF(Componentes!$B:$B,$A401))</f>
        <v/>
      </c>
      <c r="AO401" s="2">
        <f>IF(OR($A401="",$AN401="",$Y401="",$Y401=0),"",ROUND($AN401/$Y401,0))</f>
        <v/>
      </c>
    </row>
    <row r="402">
      <c r="AD402" s="2">
        <f>IF($A402="","",COUNTIFS(Integraciones_Interfaces!$B:$B,$A402,Integraciones_Interfaces!$N:$N,"Activa"))</f>
        <v/>
      </c>
      <c r="AE402" s="2">
        <f>IF($A402="","",COUNTIF(Componentes!$B:$B,$A402))</f>
        <v/>
      </c>
      <c r="AO402" s="2">
        <f>IF(OR($A402="",$AN402="",$Y402="",$Y402=0),"",ROUND($AN402/$Y402,0))</f>
        <v/>
      </c>
    </row>
    <row r="403">
      <c r="AD403" s="2">
        <f>IF($A403="","",COUNTIFS(Integraciones_Interfaces!$B:$B,$A403,Integraciones_Interfaces!$N:$N,"Activa"))</f>
        <v/>
      </c>
      <c r="AE403" s="2">
        <f>IF($A403="","",COUNTIF(Componentes!$B:$B,$A403))</f>
        <v/>
      </c>
      <c r="AO403" s="2">
        <f>IF(OR($A403="",$AN403="",$Y403="",$Y403=0),"",ROUND($AN403/$Y403,0))</f>
        <v/>
      </c>
    </row>
    <row r="404">
      <c r="AD404" s="2">
        <f>IF($A404="","",COUNTIFS(Integraciones_Interfaces!$B:$B,$A404,Integraciones_Interfaces!$N:$N,"Activa"))</f>
        <v/>
      </c>
      <c r="AE404" s="2">
        <f>IF($A404="","",COUNTIF(Componentes!$B:$B,$A404))</f>
        <v/>
      </c>
      <c r="AO404" s="2">
        <f>IF(OR($A404="",$AN404="",$Y404="",$Y404=0),"",ROUND($AN404/$Y404,0))</f>
        <v/>
      </c>
    </row>
    <row r="405">
      <c r="AD405" s="2">
        <f>IF($A405="","",COUNTIFS(Integraciones_Interfaces!$B:$B,$A405,Integraciones_Interfaces!$N:$N,"Activa"))</f>
        <v/>
      </c>
      <c r="AE405" s="2">
        <f>IF($A405="","",COUNTIF(Componentes!$B:$B,$A405))</f>
        <v/>
      </c>
      <c r="AO405" s="2">
        <f>IF(OR($A405="",$AN405="",$Y405="",$Y405=0),"",ROUND($AN405/$Y405,0))</f>
        <v/>
      </c>
    </row>
    <row r="406">
      <c r="AD406" s="2">
        <f>IF($A406="","",COUNTIFS(Integraciones_Interfaces!$B:$B,$A406,Integraciones_Interfaces!$N:$N,"Activa"))</f>
        <v/>
      </c>
      <c r="AE406" s="2">
        <f>IF($A406="","",COUNTIF(Componentes!$B:$B,$A406))</f>
        <v/>
      </c>
      <c r="AO406" s="2">
        <f>IF(OR($A406="",$AN406="",$Y406="",$Y406=0),"",ROUND($AN406/$Y406,0))</f>
        <v/>
      </c>
    </row>
    <row r="407">
      <c r="AD407" s="2">
        <f>IF($A407="","",COUNTIFS(Integraciones_Interfaces!$B:$B,$A407,Integraciones_Interfaces!$N:$N,"Activa"))</f>
        <v/>
      </c>
      <c r="AE407" s="2">
        <f>IF($A407="","",COUNTIF(Componentes!$B:$B,$A407))</f>
        <v/>
      </c>
      <c r="AO407" s="2">
        <f>IF(OR($A407="",$AN407="",$Y407="",$Y407=0),"",ROUND($AN407/$Y407,0))</f>
        <v/>
      </c>
    </row>
    <row r="408">
      <c r="AD408" s="2">
        <f>IF($A408="","",COUNTIFS(Integraciones_Interfaces!$B:$B,$A408,Integraciones_Interfaces!$N:$N,"Activa"))</f>
        <v/>
      </c>
      <c r="AE408" s="2">
        <f>IF($A408="","",COUNTIF(Componentes!$B:$B,$A408))</f>
        <v/>
      </c>
      <c r="AO408" s="2">
        <f>IF(OR($A408="",$AN408="",$Y408="",$Y408=0),"",ROUND($AN408/$Y408,0))</f>
        <v/>
      </c>
    </row>
    <row r="409">
      <c r="AD409" s="2">
        <f>IF($A409="","",COUNTIFS(Integraciones_Interfaces!$B:$B,$A409,Integraciones_Interfaces!$N:$N,"Activa"))</f>
        <v/>
      </c>
      <c r="AE409" s="2">
        <f>IF($A409="","",COUNTIF(Componentes!$B:$B,$A409))</f>
        <v/>
      </c>
      <c r="AO409" s="2">
        <f>IF(OR($A409="",$AN409="",$Y409="",$Y409=0),"",ROUND($AN409/$Y409,0))</f>
        <v/>
      </c>
    </row>
    <row r="410">
      <c r="AD410" s="2">
        <f>IF($A410="","",COUNTIFS(Integraciones_Interfaces!$B:$B,$A410,Integraciones_Interfaces!$N:$N,"Activa"))</f>
        <v/>
      </c>
      <c r="AE410" s="2">
        <f>IF($A410="","",COUNTIF(Componentes!$B:$B,$A410))</f>
        <v/>
      </c>
      <c r="AO410" s="2">
        <f>IF(OR($A410="",$AN410="",$Y410="",$Y410=0),"",ROUND($AN410/$Y410,0))</f>
        <v/>
      </c>
    </row>
    <row r="411">
      <c r="AD411" s="2">
        <f>IF($A411="","",COUNTIFS(Integraciones_Interfaces!$B:$B,$A411,Integraciones_Interfaces!$N:$N,"Activa"))</f>
        <v/>
      </c>
      <c r="AE411" s="2">
        <f>IF($A411="","",COUNTIF(Componentes!$B:$B,$A411))</f>
        <v/>
      </c>
      <c r="AO411" s="2">
        <f>IF(OR($A411="",$AN411="",$Y411="",$Y411=0),"",ROUND($AN411/$Y411,0))</f>
        <v/>
      </c>
    </row>
    <row r="412">
      <c r="AD412" s="2">
        <f>IF($A412="","",COUNTIFS(Integraciones_Interfaces!$B:$B,$A412,Integraciones_Interfaces!$N:$N,"Activa"))</f>
        <v/>
      </c>
      <c r="AE412" s="2">
        <f>IF($A412="","",COUNTIF(Componentes!$B:$B,$A412))</f>
        <v/>
      </c>
      <c r="AO412" s="2">
        <f>IF(OR($A412="",$AN412="",$Y412="",$Y412=0),"",ROUND($AN412/$Y412,0))</f>
        <v/>
      </c>
    </row>
    <row r="413">
      <c r="AD413" s="2">
        <f>IF($A413="","",COUNTIFS(Integraciones_Interfaces!$B:$B,$A413,Integraciones_Interfaces!$N:$N,"Activa"))</f>
        <v/>
      </c>
      <c r="AE413" s="2">
        <f>IF($A413="","",COUNTIF(Componentes!$B:$B,$A413))</f>
        <v/>
      </c>
      <c r="AO413" s="2">
        <f>IF(OR($A413="",$AN413="",$Y413="",$Y413=0),"",ROUND($AN413/$Y413,0))</f>
        <v/>
      </c>
    </row>
    <row r="414">
      <c r="AD414" s="2">
        <f>IF($A414="","",COUNTIFS(Integraciones_Interfaces!$B:$B,$A414,Integraciones_Interfaces!$N:$N,"Activa"))</f>
        <v/>
      </c>
      <c r="AE414" s="2">
        <f>IF($A414="","",COUNTIF(Componentes!$B:$B,$A414))</f>
        <v/>
      </c>
      <c r="AO414" s="2">
        <f>IF(OR($A414="",$AN414="",$Y414="",$Y414=0),"",ROUND($AN414/$Y414,0))</f>
        <v/>
      </c>
    </row>
    <row r="415">
      <c r="AD415" s="2">
        <f>IF($A415="","",COUNTIFS(Integraciones_Interfaces!$B:$B,$A415,Integraciones_Interfaces!$N:$N,"Activa"))</f>
        <v/>
      </c>
      <c r="AE415" s="2">
        <f>IF($A415="","",COUNTIF(Componentes!$B:$B,$A415))</f>
        <v/>
      </c>
      <c r="AO415" s="2">
        <f>IF(OR($A415="",$AN415="",$Y415="",$Y415=0),"",ROUND($AN415/$Y415,0))</f>
        <v/>
      </c>
    </row>
    <row r="416">
      <c r="AD416" s="2">
        <f>IF($A416="","",COUNTIFS(Integraciones_Interfaces!$B:$B,$A416,Integraciones_Interfaces!$N:$N,"Activa"))</f>
        <v/>
      </c>
      <c r="AE416" s="2">
        <f>IF($A416="","",COUNTIF(Componentes!$B:$B,$A416))</f>
        <v/>
      </c>
      <c r="AO416" s="2">
        <f>IF(OR($A416="",$AN416="",$Y416="",$Y416=0),"",ROUND($AN416/$Y416,0))</f>
        <v/>
      </c>
    </row>
    <row r="417">
      <c r="AD417" s="2">
        <f>IF($A417="","",COUNTIFS(Integraciones_Interfaces!$B:$B,$A417,Integraciones_Interfaces!$N:$N,"Activa"))</f>
        <v/>
      </c>
      <c r="AE417" s="2">
        <f>IF($A417="","",COUNTIF(Componentes!$B:$B,$A417))</f>
        <v/>
      </c>
      <c r="AO417" s="2">
        <f>IF(OR($A417="",$AN417="",$Y417="",$Y417=0),"",ROUND($AN417/$Y417,0))</f>
        <v/>
      </c>
    </row>
    <row r="418">
      <c r="AD418" s="2">
        <f>IF($A418="","",COUNTIFS(Integraciones_Interfaces!$B:$B,$A418,Integraciones_Interfaces!$N:$N,"Activa"))</f>
        <v/>
      </c>
      <c r="AE418" s="2">
        <f>IF($A418="","",COUNTIF(Componentes!$B:$B,$A418))</f>
        <v/>
      </c>
      <c r="AO418" s="2">
        <f>IF(OR($A418="",$AN418="",$Y418="",$Y418=0),"",ROUND($AN418/$Y418,0))</f>
        <v/>
      </c>
    </row>
    <row r="419">
      <c r="AD419" s="2">
        <f>IF($A419="","",COUNTIFS(Integraciones_Interfaces!$B:$B,$A419,Integraciones_Interfaces!$N:$N,"Activa"))</f>
        <v/>
      </c>
      <c r="AE419" s="2">
        <f>IF($A419="","",COUNTIF(Componentes!$B:$B,$A419))</f>
        <v/>
      </c>
      <c r="AO419" s="2">
        <f>IF(OR($A419="",$AN419="",$Y419="",$Y419=0),"",ROUND($AN419/$Y419,0))</f>
        <v/>
      </c>
    </row>
    <row r="420">
      <c r="AD420" s="2">
        <f>IF($A420="","",COUNTIFS(Integraciones_Interfaces!$B:$B,$A420,Integraciones_Interfaces!$N:$N,"Activa"))</f>
        <v/>
      </c>
      <c r="AE420" s="2">
        <f>IF($A420="","",COUNTIF(Componentes!$B:$B,$A420))</f>
        <v/>
      </c>
      <c r="AO420" s="2">
        <f>IF(OR($A420="",$AN420="",$Y420="",$Y420=0),"",ROUND($AN420/$Y420,0))</f>
        <v/>
      </c>
    </row>
    <row r="421">
      <c r="AD421" s="2">
        <f>IF($A421="","",COUNTIFS(Integraciones_Interfaces!$B:$B,$A421,Integraciones_Interfaces!$N:$N,"Activa"))</f>
        <v/>
      </c>
      <c r="AE421" s="2">
        <f>IF($A421="","",COUNTIF(Componentes!$B:$B,$A421))</f>
        <v/>
      </c>
      <c r="AO421" s="2">
        <f>IF(OR($A421="",$AN421="",$Y421="",$Y421=0),"",ROUND($AN421/$Y421,0))</f>
        <v/>
      </c>
    </row>
    <row r="422">
      <c r="AD422" s="2">
        <f>IF($A422="","",COUNTIFS(Integraciones_Interfaces!$B:$B,$A422,Integraciones_Interfaces!$N:$N,"Activa"))</f>
        <v/>
      </c>
      <c r="AE422" s="2">
        <f>IF($A422="","",COUNTIF(Componentes!$B:$B,$A422))</f>
        <v/>
      </c>
      <c r="AO422" s="2">
        <f>IF(OR($A422="",$AN422="",$Y422="",$Y422=0),"",ROUND($AN422/$Y422,0))</f>
        <v/>
      </c>
    </row>
    <row r="423">
      <c r="AD423" s="2">
        <f>IF($A423="","",COUNTIFS(Integraciones_Interfaces!$B:$B,$A423,Integraciones_Interfaces!$N:$N,"Activa"))</f>
        <v/>
      </c>
      <c r="AE423" s="2">
        <f>IF($A423="","",COUNTIF(Componentes!$B:$B,$A423))</f>
        <v/>
      </c>
      <c r="AO423" s="2">
        <f>IF(OR($A423="",$AN423="",$Y423="",$Y423=0),"",ROUND($AN423/$Y423,0))</f>
        <v/>
      </c>
    </row>
    <row r="424">
      <c r="AD424" s="2">
        <f>IF($A424="","",COUNTIFS(Integraciones_Interfaces!$B:$B,$A424,Integraciones_Interfaces!$N:$N,"Activa"))</f>
        <v/>
      </c>
      <c r="AE424" s="2">
        <f>IF($A424="","",COUNTIF(Componentes!$B:$B,$A424))</f>
        <v/>
      </c>
      <c r="AO424" s="2">
        <f>IF(OR($A424="",$AN424="",$Y424="",$Y424=0),"",ROUND($AN424/$Y424,0))</f>
        <v/>
      </c>
    </row>
    <row r="425">
      <c r="AD425" s="2">
        <f>IF($A425="","",COUNTIFS(Integraciones_Interfaces!$B:$B,$A425,Integraciones_Interfaces!$N:$N,"Activa"))</f>
        <v/>
      </c>
      <c r="AE425" s="2">
        <f>IF($A425="","",COUNTIF(Componentes!$B:$B,$A425))</f>
        <v/>
      </c>
      <c r="AO425" s="2">
        <f>IF(OR($A425="",$AN425="",$Y425="",$Y425=0),"",ROUND($AN425/$Y425,0))</f>
        <v/>
      </c>
    </row>
    <row r="426">
      <c r="AD426" s="2">
        <f>IF($A426="","",COUNTIFS(Integraciones_Interfaces!$B:$B,$A426,Integraciones_Interfaces!$N:$N,"Activa"))</f>
        <v/>
      </c>
      <c r="AE426" s="2">
        <f>IF($A426="","",COUNTIF(Componentes!$B:$B,$A426))</f>
        <v/>
      </c>
      <c r="AO426" s="2">
        <f>IF(OR($A426="",$AN426="",$Y426="",$Y426=0),"",ROUND($AN426/$Y426,0))</f>
        <v/>
      </c>
    </row>
    <row r="427">
      <c r="AD427" s="2">
        <f>IF($A427="","",COUNTIFS(Integraciones_Interfaces!$B:$B,$A427,Integraciones_Interfaces!$N:$N,"Activa"))</f>
        <v/>
      </c>
      <c r="AE427" s="2">
        <f>IF($A427="","",COUNTIF(Componentes!$B:$B,$A427))</f>
        <v/>
      </c>
      <c r="AO427" s="2">
        <f>IF(OR($A427="",$AN427="",$Y427="",$Y427=0),"",ROUND($AN427/$Y427,0))</f>
        <v/>
      </c>
    </row>
    <row r="428">
      <c r="AD428" s="2">
        <f>IF($A428="","",COUNTIFS(Integraciones_Interfaces!$B:$B,$A428,Integraciones_Interfaces!$N:$N,"Activa"))</f>
        <v/>
      </c>
      <c r="AE428" s="2">
        <f>IF($A428="","",COUNTIF(Componentes!$B:$B,$A428))</f>
        <v/>
      </c>
      <c r="AO428" s="2">
        <f>IF(OR($A428="",$AN428="",$Y428="",$Y428=0),"",ROUND($AN428/$Y428,0))</f>
        <v/>
      </c>
    </row>
    <row r="429">
      <c r="AD429" s="2">
        <f>IF($A429="","",COUNTIFS(Integraciones_Interfaces!$B:$B,$A429,Integraciones_Interfaces!$N:$N,"Activa"))</f>
        <v/>
      </c>
      <c r="AE429" s="2">
        <f>IF($A429="","",COUNTIF(Componentes!$B:$B,$A429))</f>
        <v/>
      </c>
      <c r="AO429" s="2">
        <f>IF(OR($A429="",$AN429="",$Y429="",$Y429=0),"",ROUND($AN429/$Y429,0))</f>
        <v/>
      </c>
    </row>
    <row r="430">
      <c r="AD430" s="2">
        <f>IF($A430="","",COUNTIFS(Integraciones_Interfaces!$B:$B,$A430,Integraciones_Interfaces!$N:$N,"Activa"))</f>
        <v/>
      </c>
      <c r="AE430" s="2">
        <f>IF($A430="","",COUNTIF(Componentes!$B:$B,$A430))</f>
        <v/>
      </c>
      <c r="AO430" s="2">
        <f>IF(OR($A430="",$AN430="",$Y430="",$Y430=0),"",ROUND($AN430/$Y430,0))</f>
        <v/>
      </c>
    </row>
    <row r="431">
      <c r="AD431" s="2">
        <f>IF($A431="","",COUNTIFS(Integraciones_Interfaces!$B:$B,$A431,Integraciones_Interfaces!$N:$N,"Activa"))</f>
        <v/>
      </c>
      <c r="AE431" s="2">
        <f>IF($A431="","",COUNTIF(Componentes!$B:$B,$A431))</f>
        <v/>
      </c>
      <c r="AO431" s="2">
        <f>IF(OR($A431="",$AN431="",$Y431="",$Y431=0),"",ROUND($AN431/$Y431,0))</f>
        <v/>
      </c>
    </row>
    <row r="432">
      <c r="AD432" s="2">
        <f>IF($A432="","",COUNTIFS(Integraciones_Interfaces!$B:$B,$A432,Integraciones_Interfaces!$N:$N,"Activa"))</f>
        <v/>
      </c>
      <c r="AE432" s="2">
        <f>IF($A432="","",COUNTIF(Componentes!$B:$B,$A432))</f>
        <v/>
      </c>
      <c r="AO432" s="2">
        <f>IF(OR($A432="",$AN432="",$Y432="",$Y432=0),"",ROUND($AN432/$Y432,0))</f>
        <v/>
      </c>
    </row>
    <row r="433">
      <c r="AD433" s="2">
        <f>IF($A433="","",COUNTIFS(Integraciones_Interfaces!$B:$B,$A433,Integraciones_Interfaces!$N:$N,"Activa"))</f>
        <v/>
      </c>
      <c r="AE433" s="2">
        <f>IF($A433="","",COUNTIF(Componentes!$B:$B,$A433))</f>
        <v/>
      </c>
      <c r="AO433" s="2">
        <f>IF(OR($A433="",$AN433="",$Y433="",$Y433=0),"",ROUND($AN433/$Y433,0))</f>
        <v/>
      </c>
    </row>
    <row r="434">
      <c r="AD434" s="2">
        <f>IF($A434="","",COUNTIFS(Integraciones_Interfaces!$B:$B,$A434,Integraciones_Interfaces!$N:$N,"Activa"))</f>
        <v/>
      </c>
      <c r="AE434" s="2">
        <f>IF($A434="","",COUNTIF(Componentes!$B:$B,$A434))</f>
        <v/>
      </c>
      <c r="AO434" s="2">
        <f>IF(OR($A434="",$AN434="",$Y434="",$Y434=0),"",ROUND($AN434/$Y434,0))</f>
        <v/>
      </c>
    </row>
    <row r="435">
      <c r="AD435" s="2">
        <f>IF($A435="","",COUNTIFS(Integraciones_Interfaces!$B:$B,$A435,Integraciones_Interfaces!$N:$N,"Activa"))</f>
        <v/>
      </c>
      <c r="AE435" s="2">
        <f>IF($A435="","",COUNTIF(Componentes!$B:$B,$A435))</f>
        <v/>
      </c>
      <c r="AO435" s="2">
        <f>IF(OR($A435="",$AN435="",$Y435="",$Y435=0),"",ROUND($AN435/$Y435,0))</f>
        <v/>
      </c>
    </row>
    <row r="436">
      <c r="AD436" s="2">
        <f>IF($A436="","",COUNTIFS(Integraciones_Interfaces!$B:$B,$A436,Integraciones_Interfaces!$N:$N,"Activa"))</f>
        <v/>
      </c>
      <c r="AE436" s="2">
        <f>IF($A436="","",COUNTIF(Componentes!$B:$B,$A436))</f>
        <v/>
      </c>
      <c r="AO436" s="2">
        <f>IF(OR($A436="",$AN436="",$Y436="",$Y436=0),"",ROUND($AN436/$Y436,0))</f>
        <v/>
      </c>
    </row>
    <row r="437">
      <c r="AD437" s="2">
        <f>IF($A437="","",COUNTIFS(Integraciones_Interfaces!$B:$B,$A437,Integraciones_Interfaces!$N:$N,"Activa"))</f>
        <v/>
      </c>
      <c r="AE437" s="2">
        <f>IF($A437="","",COUNTIF(Componentes!$B:$B,$A437))</f>
        <v/>
      </c>
      <c r="AO437" s="2">
        <f>IF(OR($A437="",$AN437="",$Y437="",$Y437=0),"",ROUND($AN437/$Y437,0))</f>
        <v/>
      </c>
    </row>
    <row r="438">
      <c r="AD438" s="2">
        <f>IF($A438="","",COUNTIFS(Integraciones_Interfaces!$B:$B,$A438,Integraciones_Interfaces!$N:$N,"Activa"))</f>
        <v/>
      </c>
      <c r="AE438" s="2">
        <f>IF($A438="","",COUNTIF(Componentes!$B:$B,$A438))</f>
        <v/>
      </c>
      <c r="AO438" s="2">
        <f>IF(OR($A438="",$AN438="",$Y438="",$Y438=0),"",ROUND($AN438/$Y438,0))</f>
        <v/>
      </c>
    </row>
    <row r="439">
      <c r="AD439" s="2">
        <f>IF($A439="","",COUNTIFS(Integraciones_Interfaces!$B:$B,$A439,Integraciones_Interfaces!$N:$N,"Activa"))</f>
        <v/>
      </c>
      <c r="AE439" s="2">
        <f>IF($A439="","",COUNTIF(Componentes!$B:$B,$A439))</f>
        <v/>
      </c>
      <c r="AO439" s="2">
        <f>IF(OR($A439="",$AN439="",$Y439="",$Y439=0),"",ROUND($AN439/$Y439,0))</f>
        <v/>
      </c>
    </row>
    <row r="440">
      <c r="AD440" s="2">
        <f>IF($A440="","",COUNTIFS(Integraciones_Interfaces!$B:$B,$A440,Integraciones_Interfaces!$N:$N,"Activa"))</f>
        <v/>
      </c>
      <c r="AE440" s="2">
        <f>IF($A440="","",COUNTIF(Componentes!$B:$B,$A440))</f>
        <v/>
      </c>
      <c r="AO440" s="2">
        <f>IF(OR($A440="",$AN440="",$Y440="",$Y440=0),"",ROUND($AN440/$Y440,0))</f>
        <v/>
      </c>
    </row>
    <row r="441">
      <c r="AD441" s="2">
        <f>IF($A441="","",COUNTIFS(Integraciones_Interfaces!$B:$B,$A441,Integraciones_Interfaces!$N:$N,"Activa"))</f>
        <v/>
      </c>
      <c r="AE441" s="2">
        <f>IF($A441="","",COUNTIF(Componentes!$B:$B,$A441))</f>
        <v/>
      </c>
      <c r="AO441" s="2">
        <f>IF(OR($A441="",$AN441="",$Y441="",$Y441=0),"",ROUND($AN441/$Y441,0))</f>
        <v/>
      </c>
    </row>
    <row r="442">
      <c r="AD442" s="2">
        <f>IF($A442="","",COUNTIFS(Integraciones_Interfaces!$B:$B,$A442,Integraciones_Interfaces!$N:$N,"Activa"))</f>
        <v/>
      </c>
      <c r="AE442" s="2">
        <f>IF($A442="","",COUNTIF(Componentes!$B:$B,$A442))</f>
        <v/>
      </c>
      <c r="AO442" s="2">
        <f>IF(OR($A442="",$AN442="",$Y442="",$Y442=0),"",ROUND($AN442/$Y442,0))</f>
        <v/>
      </c>
    </row>
    <row r="443">
      <c r="AD443" s="2">
        <f>IF($A443="","",COUNTIFS(Integraciones_Interfaces!$B:$B,$A443,Integraciones_Interfaces!$N:$N,"Activa"))</f>
        <v/>
      </c>
      <c r="AE443" s="2">
        <f>IF($A443="","",COUNTIF(Componentes!$B:$B,$A443))</f>
        <v/>
      </c>
      <c r="AO443" s="2">
        <f>IF(OR($A443="",$AN443="",$Y443="",$Y443=0),"",ROUND($AN443/$Y443,0))</f>
        <v/>
      </c>
    </row>
    <row r="444">
      <c r="AD444" s="2">
        <f>IF($A444="","",COUNTIFS(Integraciones_Interfaces!$B:$B,$A444,Integraciones_Interfaces!$N:$N,"Activa"))</f>
        <v/>
      </c>
      <c r="AE444" s="2">
        <f>IF($A444="","",COUNTIF(Componentes!$B:$B,$A444))</f>
        <v/>
      </c>
      <c r="AO444" s="2">
        <f>IF(OR($A444="",$AN444="",$Y444="",$Y444=0),"",ROUND($AN444/$Y444,0))</f>
        <v/>
      </c>
    </row>
    <row r="445">
      <c r="AD445" s="2">
        <f>IF($A445="","",COUNTIFS(Integraciones_Interfaces!$B:$B,$A445,Integraciones_Interfaces!$N:$N,"Activa"))</f>
        <v/>
      </c>
      <c r="AE445" s="2">
        <f>IF($A445="","",COUNTIF(Componentes!$B:$B,$A445))</f>
        <v/>
      </c>
      <c r="AO445" s="2">
        <f>IF(OR($A445="",$AN445="",$Y445="",$Y445=0),"",ROUND($AN445/$Y445,0))</f>
        <v/>
      </c>
    </row>
    <row r="446">
      <c r="AD446" s="2">
        <f>IF($A446="","",COUNTIFS(Integraciones_Interfaces!$B:$B,$A446,Integraciones_Interfaces!$N:$N,"Activa"))</f>
        <v/>
      </c>
      <c r="AE446" s="2">
        <f>IF($A446="","",COUNTIF(Componentes!$B:$B,$A446))</f>
        <v/>
      </c>
      <c r="AO446" s="2">
        <f>IF(OR($A446="",$AN446="",$Y446="",$Y446=0),"",ROUND($AN446/$Y446,0))</f>
        <v/>
      </c>
    </row>
    <row r="447">
      <c r="AD447" s="2">
        <f>IF($A447="","",COUNTIFS(Integraciones_Interfaces!$B:$B,$A447,Integraciones_Interfaces!$N:$N,"Activa"))</f>
        <v/>
      </c>
      <c r="AE447" s="2">
        <f>IF($A447="","",COUNTIF(Componentes!$B:$B,$A447))</f>
        <v/>
      </c>
      <c r="AO447" s="2">
        <f>IF(OR($A447="",$AN447="",$Y447="",$Y447=0),"",ROUND($AN447/$Y447,0))</f>
        <v/>
      </c>
    </row>
    <row r="448">
      <c r="AD448" s="2">
        <f>IF($A448="","",COUNTIFS(Integraciones_Interfaces!$B:$B,$A448,Integraciones_Interfaces!$N:$N,"Activa"))</f>
        <v/>
      </c>
      <c r="AE448" s="2">
        <f>IF($A448="","",COUNTIF(Componentes!$B:$B,$A448))</f>
        <v/>
      </c>
      <c r="AO448" s="2">
        <f>IF(OR($A448="",$AN448="",$Y448="",$Y448=0),"",ROUND($AN448/$Y448,0))</f>
        <v/>
      </c>
    </row>
    <row r="449">
      <c r="AD449" s="2">
        <f>IF($A449="","",COUNTIFS(Integraciones_Interfaces!$B:$B,$A449,Integraciones_Interfaces!$N:$N,"Activa"))</f>
        <v/>
      </c>
      <c r="AE449" s="2">
        <f>IF($A449="","",COUNTIF(Componentes!$B:$B,$A449))</f>
        <v/>
      </c>
      <c r="AO449" s="2">
        <f>IF(OR($A449="",$AN449="",$Y449="",$Y449=0),"",ROUND($AN449/$Y449,0))</f>
        <v/>
      </c>
    </row>
    <row r="450">
      <c r="AD450" s="2">
        <f>IF($A450="","",COUNTIFS(Integraciones_Interfaces!$B:$B,$A450,Integraciones_Interfaces!$N:$N,"Activa"))</f>
        <v/>
      </c>
      <c r="AE450" s="2">
        <f>IF($A450="","",COUNTIF(Componentes!$B:$B,$A450))</f>
        <v/>
      </c>
      <c r="AO450" s="2">
        <f>IF(OR($A450="",$AN450="",$Y450="",$Y450=0),"",ROUND($AN450/$Y450,0))</f>
        <v/>
      </c>
    </row>
    <row r="451">
      <c r="AD451" s="2">
        <f>IF($A451="","",COUNTIFS(Integraciones_Interfaces!$B:$B,$A451,Integraciones_Interfaces!$N:$N,"Activa"))</f>
        <v/>
      </c>
      <c r="AE451" s="2">
        <f>IF($A451="","",COUNTIF(Componentes!$B:$B,$A451))</f>
        <v/>
      </c>
      <c r="AO451" s="2">
        <f>IF(OR($A451="",$AN451="",$Y451="",$Y451=0),"",ROUND($AN451/$Y451,0))</f>
        <v/>
      </c>
    </row>
    <row r="452">
      <c r="AD452" s="2">
        <f>IF($A452="","",COUNTIFS(Integraciones_Interfaces!$B:$B,$A452,Integraciones_Interfaces!$N:$N,"Activa"))</f>
        <v/>
      </c>
      <c r="AE452" s="2">
        <f>IF($A452="","",COUNTIF(Componentes!$B:$B,$A452))</f>
        <v/>
      </c>
      <c r="AO452" s="2">
        <f>IF(OR($A452="",$AN452="",$Y452="",$Y452=0),"",ROUND($AN452/$Y452,0))</f>
        <v/>
      </c>
    </row>
    <row r="453">
      <c r="AD453" s="2">
        <f>IF($A453="","",COUNTIFS(Integraciones_Interfaces!$B:$B,$A453,Integraciones_Interfaces!$N:$N,"Activa"))</f>
        <v/>
      </c>
      <c r="AE453" s="2">
        <f>IF($A453="","",COUNTIF(Componentes!$B:$B,$A453))</f>
        <v/>
      </c>
      <c r="AO453" s="2">
        <f>IF(OR($A453="",$AN453="",$Y453="",$Y453=0),"",ROUND($AN453/$Y453,0))</f>
        <v/>
      </c>
    </row>
    <row r="454">
      <c r="AD454" s="2">
        <f>IF($A454="","",COUNTIFS(Integraciones_Interfaces!$B:$B,$A454,Integraciones_Interfaces!$N:$N,"Activa"))</f>
        <v/>
      </c>
      <c r="AE454" s="2">
        <f>IF($A454="","",COUNTIF(Componentes!$B:$B,$A454))</f>
        <v/>
      </c>
      <c r="AO454" s="2">
        <f>IF(OR($A454="",$AN454="",$Y454="",$Y454=0),"",ROUND($AN454/$Y454,0))</f>
        <v/>
      </c>
    </row>
    <row r="455">
      <c r="AD455" s="2">
        <f>IF($A455="","",COUNTIFS(Integraciones_Interfaces!$B:$B,$A455,Integraciones_Interfaces!$N:$N,"Activa"))</f>
        <v/>
      </c>
      <c r="AE455" s="2">
        <f>IF($A455="","",COUNTIF(Componentes!$B:$B,$A455))</f>
        <v/>
      </c>
      <c r="AO455" s="2">
        <f>IF(OR($A455="",$AN455="",$Y455="",$Y455=0),"",ROUND($AN455/$Y455,0))</f>
        <v/>
      </c>
    </row>
    <row r="456">
      <c r="AD456" s="2">
        <f>IF($A456="","",COUNTIFS(Integraciones_Interfaces!$B:$B,$A456,Integraciones_Interfaces!$N:$N,"Activa"))</f>
        <v/>
      </c>
      <c r="AE456" s="2">
        <f>IF($A456="","",COUNTIF(Componentes!$B:$B,$A456))</f>
        <v/>
      </c>
      <c r="AO456" s="2">
        <f>IF(OR($A456="",$AN456="",$Y456="",$Y456=0),"",ROUND($AN456/$Y456,0))</f>
        <v/>
      </c>
    </row>
    <row r="457">
      <c r="AD457" s="2">
        <f>IF($A457="","",COUNTIFS(Integraciones_Interfaces!$B:$B,$A457,Integraciones_Interfaces!$N:$N,"Activa"))</f>
        <v/>
      </c>
      <c r="AE457" s="2">
        <f>IF($A457="","",COUNTIF(Componentes!$B:$B,$A457))</f>
        <v/>
      </c>
      <c r="AO457" s="2">
        <f>IF(OR($A457="",$AN457="",$Y457="",$Y457=0),"",ROUND($AN457/$Y457,0))</f>
        <v/>
      </c>
    </row>
    <row r="458">
      <c r="AD458" s="2">
        <f>IF($A458="","",COUNTIFS(Integraciones_Interfaces!$B:$B,$A458,Integraciones_Interfaces!$N:$N,"Activa"))</f>
        <v/>
      </c>
      <c r="AE458" s="2">
        <f>IF($A458="","",COUNTIF(Componentes!$B:$B,$A458))</f>
        <v/>
      </c>
      <c r="AO458" s="2">
        <f>IF(OR($A458="",$AN458="",$Y458="",$Y458=0),"",ROUND($AN458/$Y458,0))</f>
        <v/>
      </c>
    </row>
    <row r="459">
      <c r="AD459" s="2">
        <f>IF($A459="","",COUNTIFS(Integraciones_Interfaces!$B:$B,$A459,Integraciones_Interfaces!$N:$N,"Activa"))</f>
        <v/>
      </c>
      <c r="AE459" s="2">
        <f>IF($A459="","",COUNTIF(Componentes!$B:$B,$A459))</f>
        <v/>
      </c>
      <c r="AO459" s="2">
        <f>IF(OR($A459="",$AN459="",$Y459="",$Y459=0),"",ROUND($AN459/$Y459,0))</f>
        <v/>
      </c>
    </row>
    <row r="460">
      <c r="AD460" s="2">
        <f>IF($A460="","",COUNTIFS(Integraciones_Interfaces!$B:$B,$A460,Integraciones_Interfaces!$N:$N,"Activa"))</f>
        <v/>
      </c>
      <c r="AE460" s="2">
        <f>IF($A460="","",COUNTIF(Componentes!$B:$B,$A460))</f>
        <v/>
      </c>
      <c r="AO460" s="2">
        <f>IF(OR($A460="",$AN460="",$Y460="",$Y460=0),"",ROUND($AN460/$Y460,0))</f>
        <v/>
      </c>
    </row>
    <row r="461">
      <c r="AD461" s="2">
        <f>IF($A461="","",COUNTIFS(Integraciones_Interfaces!$B:$B,$A461,Integraciones_Interfaces!$N:$N,"Activa"))</f>
        <v/>
      </c>
      <c r="AE461" s="2">
        <f>IF($A461="","",COUNTIF(Componentes!$B:$B,$A461))</f>
        <v/>
      </c>
      <c r="AO461" s="2">
        <f>IF(OR($A461="",$AN461="",$Y461="",$Y461=0),"",ROUND($AN461/$Y461,0))</f>
        <v/>
      </c>
    </row>
    <row r="462">
      <c r="AD462" s="2">
        <f>IF($A462="","",COUNTIFS(Integraciones_Interfaces!$B:$B,$A462,Integraciones_Interfaces!$N:$N,"Activa"))</f>
        <v/>
      </c>
      <c r="AE462" s="2">
        <f>IF($A462="","",COUNTIF(Componentes!$B:$B,$A462))</f>
        <v/>
      </c>
      <c r="AO462" s="2">
        <f>IF(OR($A462="",$AN462="",$Y462="",$Y462=0),"",ROUND($AN462/$Y462,0))</f>
        <v/>
      </c>
    </row>
    <row r="463">
      <c r="AD463" s="2">
        <f>IF($A463="","",COUNTIFS(Integraciones_Interfaces!$B:$B,$A463,Integraciones_Interfaces!$N:$N,"Activa"))</f>
        <v/>
      </c>
      <c r="AE463" s="2">
        <f>IF($A463="","",COUNTIF(Componentes!$B:$B,$A463))</f>
        <v/>
      </c>
      <c r="AO463" s="2">
        <f>IF(OR($A463="",$AN463="",$Y463="",$Y463=0),"",ROUND($AN463/$Y463,0))</f>
        <v/>
      </c>
    </row>
    <row r="464">
      <c r="AD464" s="2">
        <f>IF($A464="","",COUNTIFS(Integraciones_Interfaces!$B:$B,$A464,Integraciones_Interfaces!$N:$N,"Activa"))</f>
        <v/>
      </c>
      <c r="AE464" s="2">
        <f>IF($A464="","",COUNTIF(Componentes!$B:$B,$A464))</f>
        <v/>
      </c>
      <c r="AO464" s="2">
        <f>IF(OR($A464="",$AN464="",$Y464="",$Y464=0),"",ROUND($AN464/$Y464,0))</f>
        <v/>
      </c>
    </row>
    <row r="465">
      <c r="AD465" s="2">
        <f>IF($A465="","",COUNTIFS(Integraciones_Interfaces!$B:$B,$A465,Integraciones_Interfaces!$N:$N,"Activa"))</f>
        <v/>
      </c>
      <c r="AE465" s="2">
        <f>IF($A465="","",COUNTIF(Componentes!$B:$B,$A465))</f>
        <v/>
      </c>
      <c r="AO465" s="2">
        <f>IF(OR($A465="",$AN465="",$Y465="",$Y465=0),"",ROUND($AN465/$Y465,0))</f>
        <v/>
      </c>
    </row>
    <row r="466">
      <c r="AD466" s="2">
        <f>IF($A466="","",COUNTIFS(Integraciones_Interfaces!$B:$B,$A466,Integraciones_Interfaces!$N:$N,"Activa"))</f>
        <v/>
      </c>
      <c r="AE466" s="2">
        <f>IF($A466="","",COUNTIF(Componentes!$B:$B,$A466))</f>
        <v/>
      </c>
      <c r="AO466" s="2">
        <f>IF(OR($A466="",$AN466="",$Y466="",$Y466=0),"",ROUND($AN466/$Y466,0))</f>
        <v/>
      </c>
    </row>
    <row r="467">
      <c r="AD467" s="2">
        <f>IF($A467="","",COUNTIFS(Integraciones_Interfaces!$B:$B,$A467,Integraciones_Interfaces!$N:$N,"Activa"))</f>
        <v/>
      </c>
      <c r="AE467" s="2">
        <f>IF($A467="","",COUNTIF(Componentes!$B:$B,$A467))</f>
        <v/>
      </c>
      <c r="AO467" s="2">
        <f>IF(OR($A467="",$AN467="",$Y467="",$Y467=0),"",ROUND($AN467/$Y467,0))</f>
        <v/>
      </c>
    </row>
    <row r="468">
      <c r="AD468" s="2">
        <f>IF($A468="","",COUNTIFS(Integraciones_Interfaces!$B:$B,$A468,Integraciones_Interfaces!$N:$N,"Activa"))</f>
        <v/>
      </c>
      <c r="AE468" s="2">
        <f>IF($A468="","",COUNTIF(Componentes!$B:$B,$A468))</f>
        <v/>
      </c>
      <c r="AO468" s="2">
        <f>IF(OR($A468="",$AN468="",$Y468="",$Y468=0),"",ROUND($AN468/$Y468,0))</f>
        <v/>
      </c>
    </row>
    <row r="469">
      <c r="AD469" s="2">
        <f>IF($A469="","",COUNTIFS(Integraciones_Interfaces!$B:$B,$A469,Integraciones_Interfaces!$N:$N,"Activa"))</f>
        <v/>
      </c>
      <c r="AE469" s="2">
        <f>IF($A469="","",COUNTIF(Componentes!$B:$B,$A469))</f>
        <v/>
      </c>
      <c r="AO469" s="2">
        <f>IF(OR($A469="",$AN469="",$Y469="",$Y469=0),"",ROUND($AN469/$Y469,0))</f>
        <v/>
      </c>
    </row>
    <row r="470">
      <c r="AD470" s="2">
        <f>IF($A470="","",COUNTIFS(Integraciones_Interfaces!$B:$B,$A470,Integraciones_Interfaces!$N:$N,"Activa"))</f>
        <v/>
      </c>
      <c r="AE470" s="2">
        <f>IF($A470="","",COUNTIF(Componentes!$B:$B,$A470))</f>
        <v/>
      </c>
      <c r="AO470" s="2">
        <f>IF(OR($A470="",$AN470="",$Y470="",$Y470=0),"",ROUND($AN470/$Y470,0))</f>
        <v/>
      </c>
    </row>
    <row r="471">
      <c r="AD471" s="2">
        <f>IF($A471="","",COUNTIFS(Integraciones_Interfaces!$B:$B,$A471,Integraciones_Interfaces!$N:$N,"Activa"))</f>
        <v/>
      </c>
      <c r="AE471" s="2">
        <f>IF($A471="","",COUNTIF(Componentes!$B:$B,$A471))</f>
        <v/>
      </c>
      <c r="AO471" s="2">
        <f>IF(OR($A471="",$AN471="",$Y471="",$Y471=0),"",ROUND($AN471/$Y471,0))</f>
        <v/>
      </c>
    </row>
    <row r="472">
      <c r="AD472" s="2">
        <f>IF($A472="","",COUNTIFS(Integraciones_Interfaces!$B:$B,$A472,Integraciones_Interfaces!$N:$N,"Activa"))</f>
        <v/>
      </c>
      <c r="AE472" s="2">
        <f>IF($A472="","",COUNTIF(Componentes!$B:$B,$A472))</f>
        <v/>
      </c>
      <c r="AO472" s="2">
        <f>IF(OR($A472="",$AN472="",$Y472="",$Y472=0),"",ROUND($AN472/$Y472,0))</f>
        <v/>
      </c>
    </row>
    <row r="473">
      <c r="AD473" s="2">
        <f>IF($A473="","",COUNTIFS(Integraciones_Interfaces!$B:$B,$A473,Integraciones_Interfaces!$N:$N,"Activa"))</f>
        <v/>
      </c>
      <c r="AE473" s="2">
        <f>IF($A473="","",COUNTIF(Componentes!$B:$B,$A473))</f>
        <v/>
      </c>
      <c r="AO473" s="2">
        <f>IF(OR($A473="",$AN473="",$Y473="",$Y473=0),"",ROUND($AN473/$Y473,0))</f>
        <v/>
      </c>
    </row>
    <row r="474">
      <c r="AD474" s="2">
        <f>IF($A474="","",COUNTIFS(Integraciones_Interfaces!$B:$B,$A474,Integraciones_Interfaces!$N:$N,"Activa"))</f>
        <v/>
      </c>
      <c r="AE474" s="2">
        <f>IF($A474="","",COUNTIF(Componentes!$B:$B,$A474))</f>
        <v/>
      </c>
      <c r="AO474" s="2">
        <f>IF(OR($A474="",$AN474="",$Y474="",$Y474=0),"",ROUND($AN474/$Y474,0))</f>
        <v/>
      </c>
    </row>
    <row r="475">
      <c r="AD475" s="2">
        <f>IF($A475="","",COUNTIFS(Integraciones_Interfaces!$B:$B,$A475,Integraciones_Interfaces!$N:$N,"Activa"))</f>
        <v/>
      </c>
      <c r="AE475" s="2">
        <f>IF($A475="","",COUNTIF(Componentes!$B:$B,$A475))</f>
        <v/>
      </c>
      <c r="AO475" s="2">
        <f>IF(OR($A475="",$AN475="",$Y475="",$Y475=0),"",ROUND($AN475/$Y475,0))</f>
        <v/>
      </c>
    </row>
    <row r="476">
      <c r="AD476" s="2">
        <f>IF($A476="","",COUNTIFS(Integraciones_Interfaces!$B:$B,$A476,Integraciones_Interfaces!$N:$N,"Activa"))</f>
        <v/>
      </c>
      <c r="AE476" s="2">
        <f>IF($A476="","",COUNTIF(Componentes!$B:$B,$A476))</f>
        <v/>
      </c>
      <c r="AO476" s="2">
        <f>IF(OR($A476="",$AN476="",$Y476="",$Y476=0),"",ROUND($AN476/$Y476,0))</f>
        <v/>
      </c>
    </row>
    <row r="477">
      <c r="AD477" s="2">
        <f>IF($A477="","",COUNTIFS(Integraciones_Interfaces!$B:$B,$A477,Integraciones_Interfaces!$N:$N,"Activa"))</f>
        <v/>
      </c>
      <c r="AE477" s="2">
        <f>IF($A477="","",COUNTIF(Componentes!$B:$B,$A477))</f>
        <v/>
      </c>
      <c r="AO477" s="2">
        <f>IF(OR($A477="",$AN477="",$Y477="",$Y477=0),"",ROUND($AN477/$Y477,0))</f>
        <v/>
      </c>
    </row>
    <row r="478">
      <c r="AD478" s="2">
        <f>IF($A478="","",COUNTIFS(Integraciones_Interfaces!$B:$B,$A478,Integraciones_Interfaces!$N:$N,"Activa"))</f>
        <v/>
      </c>
      <c r="AE478" s="2">
        <f>IF($A478="","",COUNTIF(Componentes!$B:$B,$A478))</f>
        <v/>
      </c>
      <c r="AO478" s="2">
        <f>IF(OR($A478="",$AN478="",$Y478="",$Y478=0),"",ROUND($AN478/$Y478,0))</f>
        <v/>
      </c>
    </row>
    <row r="479">
      <c r="AD479" s="2">
        <f>IF($A479="","",COUNTIFS(Integraciones_Interfaces!$B:$B,$A479,Integraciones_Interfaces!$N:$N,"Activa"))</f>
        <v/>
      </c>
      <c r="AE479" s="2">
        <f>IF($A479="","",COUNTIF(Componentes!$B:$B,$A479))</f>
        <v/>
      </c>
      <c r="AO479" s="2">
        <f>IF(OR($A479="",$AN479="",$Y479="",$Y479=0),"",ROUND($AN479/$Y479,0))</f>
        <v/>
      </c>
    </row>
    <row r="480">
      <c r="AD480" s="2">
        <f>IF($A480="","",COUNTIFS(Integraciones_Interfaces!$B:$B,$A480,Integraciones_Interfaces!$N:$N,"Activa"))</f>
        <v/>
      </c>
      <c r="AE480" s="2">
        <f>IF($A480="","",COUNTIF(Componentes!$B:$B,$A480))</f>
        <v/>
      </c>
      <c r="AO480" s="2">
        <f>IF(OR($A480="",$AN480="",$Y480="",$Y480=0),"",ROUND($AN480/$Y480,0))</f>
        <v/>
      </c>
    </row>
    <row r="481">
      <c r="AD481" s="2">
        <f>IF($A481="","",COUNTIFS(Integraciones_Interfaces!$B:$B,$A481,Integraciones_Interfaces!$N:$N,"Activa"))</f>
        <v/>
      </c>
      <c r="AE481" s="2">
        <f>IF($A481="","",COUNTIF(Componentes!$B:$B,$A481))</f>
        <v/>
      </c>
      <c r="AO481" s="2">
        <f>IF(OR($A481="",$AN481="",$Y481="",$Y481=0),"",ROUND($AN481/$Y481,0))</f>
        <v/>
      </c>
    </row>
    <row r="482">
      <c r="AD482" s="2">
        <f>IF($A482="","",COUNTIFS(Integraciones_Interfaces!$B:$B,$A482,Integraciones_Interfaces!$N:$N,"Activa"))</f>
        <v/>
      </c>
      <c r="AE482" s="2">
        <f>IF($A482="","",COUNTIF(Componentes!$B:$B,$A482))</f>
        <v/>
      </c>
      <c r="AO482" s="2">
        <f>IF(OR($A482="",$AN482="",$Y482="",$Y482=0),"",ROUND($AN482/$Y482,0))</f>
        <v/>
      </c>
    </row>
    <row r="483">
      <c r="AD483" s="2">
        <f>IF($A483="","",COUNTIFS(Integraciones_Interfaces!$B:$B,$A483,Integraciones_Interfaces!$N:$N,"Activa"))</f>
        <v/>
      </c>
      <c r="AE483" s="2">
        <f>IF($A483="","",COUNTIF(Componentes!$B:$B,$A483))</f>
        <v/>
      </c>
      <c r="AO483" s="2">
        <f>IF(OR($A483="",$AN483="",$Y483="",$Y483=0),"",ROUND($AN483/$Y483,0))</f>
        <v/>
      </c>
    </row>
    <row r="484">
      <c r="AD484" s="2">
        <f>IF($A484="","",COUNTIFS(Integraciones_Interfaces!$B:$B,$A484,Integraciones_Interfaces!$N:$N,"Activa"))</f>
        <v/>
      </c>
      <c r="AE484" s="2">
        <f>IF($A484="","",COUNTIF(Componentes!$B:$B,$A484))</f>
        <v/>
      </c>
      <c r="AO484" s="2">
        <f>IF(OR($A484="",$AN484="",$Y484="",$Y484=0),"",ROUND($AN484/$Y484,0))</f>
        <v/>
      </c>
    </row>
    <row r="485">
      <c r="AD485" s="2">
        <f>IF($A485="","",COUNTIFS(Integraciones_Interfaces!$B:$B,$A485,Integraciones_Interfaces!$N:$N,"Activa"))</f>
        <v/>
      </c>
      <c r="AE485" s="2">
        <f>IF($A485="","",COUNTIF(Componentes!$B:$B,$A485))</f>
        <v/>
      </c>
      <c r="AO485" s="2">
        <f>IF(OR($A485="",$AN485="",$Y485="",$Y485=0),"",ROUND($AN485/$Y485,0))</f>
        <v/>
      </c>
    </row>
    <row r="486">
      <c r="AD486" s="2">
        <f>IF($A486="","",COUNTIFS(Integraciones_Interfaces!$B:$B,$A486,Integraciones_Interfaces!$N:$N,"Activa"))</f>
        <v/>
      </c>
      <c r="AE486" s="2">
        <f>IF($A486="","",COUNTIF(Componentes!$B:$B,$A486))</f>
        <v/>
      </c>
      <c r="AO486" s="2">
        <f>IF(OR($A486="",$AN486="",$Y486="",$Y486=0),"",ROUND($AN486/$Y486,0))</f>
        <v/>
      </c>
    </row>
    <row r="487">
      <c r="AD487" s="2">
        <f>IF($A487="","",COUNTIFS(Integraciones_Interfaces!$B:$B,$A487,Integraciones_Interfaces!$N:$N,"Activa"))</f>
        <v/>
      </c>
      <c r="AE487" s="2">
        <f>IF($A487="","",COUNTIF(Componentes!$B:$B,$A487))</f>
        <v/>
      </c>
      <c r="AO487" s="2">
        <f>IF(OR($A487="",$AN487="",$Y487="",$Y487=0),"",ROUND($AN487/$Y487,0))</f>
        <v/>
      </c>
    </row>
    <row r="488">
      <c r="AD488" s="2">
        <f>IF($A488="","",COUNTIFS(Integraciones_Interfaces!$B:$B,$A488,Integraciones_Interfaces!$N:$N,"Activa"))</f>
        <v/>
      </c>
      <c r="AE488" s="2">
        <f>IF($A488="","",COUNTIF(Componentes!$B:$B,$A488))</f>
        <v/>
      </c>
      <c r="AO488" s="2">
        <f>IF(OR($A488="",$AN488="",$Y488="",$Y488=0),"",ROUND($AN488/$Y488,0))</f>
        <v/>
      </c>
    </row>
    <row r="489">
      <c r="AD489" s="2">
        <f>IF($A489="","",COUNTIFS(Integraciones_Interfaces!$B:$B,$A489,Integraciones_Interfaces!$N:$N,"Activa"))</f>
        <v/>
      </c>
      <c r="AE489" s="2">
        <f>IF($A489="","",COUNTIF(Componentes!$B:$B,$A489))</f>
        <v/>
      </c>
      <c r="AO489" s="2">
        <f>IF(OR($A489="",$AN489="",$Y489="",$Y489=0),"",ROUND($AN489/$Y489,0))</f>
        <v/>
      </c>
    </row>
    <row r="490">
      <c r="AD490" s="2">
        <f>IF($A490="","",COUNTIFS(Integraciones_Interfaces!$B:$B,$A490,Integraciones_Interfaces!$N:$N,"Activa"))</f>
        <v/>
      </c>
      <c r="AE490" s="2">
        <f>IF($A490="","",COUNTIF(Componentes!$B:$B,$A490))</f>
        <v/>
      </c>
      <c r="AO490" s="2">
        <f>IF(OR($A490="",$AN490="",$Y490="",$Y490=0),"",ROUND($AN490/$Y490,0))</f>
        <v/>
      </c>
    </row>
    <row r="491">
      <c r="AD491" s="2">
        <f>IF($A491="","",COUNTIFS(Integraciones_Interfaces!$B:$B,$A491,Integraciones_Interfaces!$N:$N,"Activa"))</f>
        <v/>
      </c>
      <c r="AE491" s="2">
        <f>IF($A491="","",COUNTIF(Componentes!$B:$B,$A491))</f>
        <v/>
      </c>
      <c r="AO491" s="2">
        <f>IF(OR($A491="",$AN491="",$Y491="",$Y491=0),"",ROUND($AN491/$Y491,0))</f>
        <v/>
      </c>
    </row>
    <row r="492">
      <c r="AD492" s="2">
        <f>IF($A492="","",COUNTIFS(Integraciones_Interfaces!$B:$B,$A492,Integraciones_Interfaces!$N:$N,"Activa"))</f>
        <v/>
      </c>
      <c r="AE492" s="2">
        <f>IF($A492="","",COUNTIF(Componentes!$B:$B,$A492))</f>
        <v/>
      </c>
      <c r="AO492" s="2">
        <f>IF(OR($A492="",$AN492="",$Y492="",$Y492=0),"",ROUND($AN492/$Y492,0))</f>
        <v/>
      </c>
    </row>
    <row r="493">
      <c r="AD493" s="2">
        <f>IF($A493="","",COUNTIFS(Integraciones_Interfaces!$B:$B,$A493,Integraciones_Interfaces!$N:$N,"Activa"))</f>
        <v/>
      </c>
      <c r="AE493" s="2">
        <f>IF($A493="","",COUNTIF(Componentes!$B:$B,$A493))</f>
        <v/>
      </c>
      <c r="AO493" s="2">
        <f>IF(OR($A493="",$AN493="",$Y493="",$Y493=0),"",ROUND($AN493/$Y493,0))</f>
        <v/>
      </c>
    </row>
    <row r="494">
      <c r="AD494" s="2">
        <f>IF($A494="","",COUNTIFS(Integraciones_Interfaces!$B:$B,$A494,Integraciones_Interfaces!$N:$N,"Activa"))</f>
        <v/>
      </c>
      <c r="AE494" s="2">
        <f>IF($A494="","",COUNTIF(Componentes!$B:$B,$A494))</f>
        <v/>
      </c>
      <c r="AO494" s="2">
        <f>IF(OR($A494="",$AN494="",$Y494="",$Y494=0),"",ROUND($AN494/$Y494,0))</f>
        <v/>
      </c>
    </row>
    <row r="495">
      <c r="AD495" s="2">
        <f>IF($A495="","",COUNTIFS(Integraciones_Interfaces!$B:$B,$A495,Integraciones_Interfaces!$N:$N,"Activa"))</f>
        <v/>
      </c>
      <c r="AE495" s="2">
        <f>IF($A495="","",COUNTIF(Componentes!$B:$B,$A495))</f>
        <v/>
      </c>
      <c r="AO495" s="2">
        <f>IF(OR($A495="",$AN495="",$Y495="",$Y495=0),"",ROUND($AN495/$Y495,0))</f>
        <v/>
      </c>
    </row>
    <row r="496">
      <c r="AD496" s="2">
        <f>IF($A496="","",COUNTIFS(Integraciones_Interfaces!$B:$B,$A496,Integraciones_Interfaces!$N:$N,"Activa"))</f>
        <v/>
      </c>
      <c r="AE496" s="2">
        <f>IF($A496="","",COUNTIF(Componentes!$B:$B,$A496))</f>
        <v/>
      </c>
      <c r="AO496" s="2">
        <f>IF(OR($A496="",$AN496="",$Y496="",$Y496=0),"",ROUND($AN496/$Y496,0))</f>
        <v/>
      </c>
    </row>
    <row r="497">
      <c r="AD497" s="2">
        <f>IF($A497="","",COUNTIFS(Integraciones_Interfaces!$B:$B,$A497,Integraciones_Interfaces!$N:$N,"Activa"))</f>
        <v/>
      </c>
      <c r="AE497" s="2">
        <f>IF($A497="","",COUNTIF(Componentes!$B:$B,$A497))</f>
        <v/>
      </c>
      <c r="AO497" s="2">
        <f>IF(OR($A497="",$AN497="",$Y497="",$Y497=0),"",ROUND($AN497/$Y497,0))</f>
        <v/>
      </c>
    </row>
    <row r="498">
      <c r="AD498" s="2">
        <f>IF($A498="","",COUNTIFS(Integraciones_Interfaces!$B:$B,$A498,Integraciones_Interfaces!$N:$N,"Activa"))</f>
        <v/>
      </c>
      <c r="AE498" s="2">
        <f>IF($A498="","",COUNTIF(Componentes!$B:$B,$A498))</f>
        <v/>
      </c>
      <c r="AO498" s="2">
        <f>IF(OR($A498="",$AN498="",$Y498="",$Y498=0),"",ROUND($AN498/$Y498,0))</f>
        <v/>
      </c>
    </row>
    <row r="499">
      <c r="AD499" s="2">
        <f>IF($A499="","",COUNTIFS(Integraciones_Interfaces!$B:$B,$A499,Integraciones_Interfaces!$N:$N,"Activa"))</f>
        <v/>
      </c>
      <c r="AE499" s="2">
        <f>IF($A499="","",COUNTIF(Componentes!$B:$B,$A499))</f>
        <v/>
      </c>
      <c r="AO499" s="2">
        <f>IF(OR($A499="",$AN499="",$Y499="",$Y499=0),"",ROUND($AN499/$Y499,0))</f>
        <v/>
      </c>
    </row>
    <row r="500">
      <c r="AD500" s="2">
        <f>IF($A500="","",COUNTIFS(Integraciones_Interfaces!$B:$B,$A500,Integraciones_Interfaces!$N:$N,"Activa"))</f>
        <v/>
      </c>
      <c r="AE500" s="2">
        <f>IF($A500="","",COUNTIF(Componentes!$B:$B,$A500))</f>
        <v/>
      </c>
      <c r="AO500" s="2">
        <f>IF(OR($A500="",$AN500="",$Y500="",$Y500=0),"",ROUND($AN500/$Y500,0))</f>
        <v/>
      </c>
    </row>
    <row r="501">
      <c r="AD501" s="2">
        <f>IF($A501="","",COUNTIFS(Integraciones_Interfaces!$B:$B,$A501,Integraciones_Interfaces!$N:$N,"Activa"))</f>
        <v/>
      </c>
      <c r="AE501" s="2">
        <f>IF($A501="","",COUNTIF(Componentes!$B:$B,$A501))</f>
        <v/>
      </c>
      <c r="AO501" s="2">
        <f>IF(OR($A501="",$AN501="",$Y501="",$Y501=0),"",ROUND($AN501/$Y501,0))</f>
        <v/>
      </c>
    </row>
  </sheetData>
  <autoFilter ref="A1:AR1"/>
  <dataValidations count="24">
    <dataValidation sqref="D2:D501" showDropDown="0" showInputMessage="0" showErrorMessage="1" allowBlank="1" errorTitle="Valor no permitido" error="Use únicamente valores del vocabulario controlado (hoja Listas)." type="list">
      <formula1>=Listas!$A$2:$A$10</formula1>
    </dataValidation>
    <dataValidation sqref="E2:E501" showDropDown="0" showInputMessage="0" showErrorMessage="1" allowBlank="1" errorTitle="Valor no permitido" error="Use únicamente valores del vocabulario controlado (hoja Listas)." type="list">
      <formula1>=Listas!$B$2:$B$6</formula1>
    </dataValidation>
    <dataValidation sqref="H2:H501" showDropDown="0" showInputMessage="0" showErrorMessage="1" allowBlank="1" errorTitle="Valor no permitido" error="Use únicamente valores del vocabulario controlado (hoja Listas)." type="list">
      <formula1>=Listas!$V$2:$V$2</formula1>
    </dataValidation>
    <dataValidation sqref="I2:I501" showDropDown="0" showInputMessage="0" showErrorMessage="1" allowBlank="1" errorTitle="Valor no permitido" error="Use únicamente valores del vocabulario controlado (hoja Listas)." type="list">
      <formula1>=Listas!$V$2:$V$2</formula1>
    </dataValidation>
    <dataValidation sqref="K2:K501" showDropDown="0" showInputMessage="0" showErrorMessage="1" allowBlank="1" errorTitle="Valor no permitido" error="Use únicamente valores del vocabulario controlado (hoja Listas)." type="list">
      <formula1>=Listas!$V$2:$V$2</formula1>
    </dataValidation>
    <dataValidation sqref="M2:M501" showDropDown="0" showInputMessage="0" showErrorMessage="1" allowBlank="1" errorTitle="Valor no permitido" error="Use únicamente valores del vocabulario controlado (hoja Listas)." type="list">
      <formula1>=Listas!$C$2:$C$7</formula1>
    </dataValidation>
    <dataValidation sqref="P2:P501" showDropDown="0" showInputMessage="0" showErrorMessage="1" allowBlank="1" errorTitle="Valor no permitido" error="Use únicamente valores del vocabulario controlado (hoja Listas)." type="list">
      <formula1>=Listas!$D$2:$D$7</formula1>
    </dataValidation>
    <dataValidation sqref="Q2:Q501" showDropDown="0" showInputMessage="0" showErrorMessage="1" allowBlank="1" errorTitle="Valor no permitido" error="Use únicamente valores del vocabulario controlado (hoja Listas)." type="list">
      <formula1>=Listas!$E$2:$E$8</formula1>
    </dataValidation>
    <dataValidation sqref="S2:S501" showDropDown="0" showInputMessage="0" showErrorMessage="1" allowBlank="1" errorTitle="Valor no permitido" error="Use únicamente valores del vocabulario controlado (hoja Listas)." type="list">
      <formula1>=Listas!$F$2:$F$7</formula1>
    </dataValidation>
    <dataValidation sqref="U2:U501" showDropDown="0" showInputMessage="0" showErrorMessage="1" allowBlank="1" errorTitle="Valor no permitido" error="Use únicamente valores del vocabulario controlado (hoja Listas)." type="list">
      <formula1>=Listas!$G$2:$G$5</formula1>
    </dataValidation>
    <dataValidation sqref="X2:X501" showDropDown="0" showInputMessage="0" showErrorMessage="1" allowBlank="1" errorTitle="Valor no permitido" error="Use únicamente valores del vocabulario controlado (hoja Listas)." type="list">
      <formula1>=Listas!$H$2:$H$4</formula1>
    </dataValidation>
    <dataValidation sqref="Z2:Z501" showDropDown="0" showInputMessage="0" showErrorMessage="1" allowBlank="1" errorTitle="Valor no permitido" error="Use únicamente valores del vocabulario controlado (hoja Listas)." type="list">
      <formula1>=Listas!$I$2:$I$5</formula1>
    </dataValidation>
    <dataValidation sqref="AA2:AA501" showDropDown="0" showInputMessage="0" showErrorMessage="1" allowBlank="1" errorTitle="Valor no permitido" error="Use únicamente valores del vocabulario controlado (hoja Listas)." type="list">
      <formula1>=Listas!$J$2:$J$5</formula1>
    </dataValidation>
    <dataValidation sqref="AB2:AB501" showDropDown="0" showInputMessage="0" showErrorMessage="1" allowBlank="1" errorTitle="Valor no permitido" error="Use únicamente valores del vocabulario controlado (hoja Listas)." type="list">
      <formula1>=Listas!$K$2:$K$4</formula1>
    </dataValidation>
    <dataValidation sqref="AC2:AC501" showDropDown="0" showInputMessage="0" showErrorMessage="1" allowBlank="1" errorTitle="Valor no permitido" error="Use únicamente valores del vocabulario controlado (hoja Listas)." type="list">
      <formula1>=Listas!$L$2:$L$3</formula1>
    </dataValidation>
    <dataValidation sqref="AF2:AF501" showDropDown="0" showInputMessage="0" showErrorMessage="1" allowBlank="1" errorTitle="Valor no permitido" error="Use únicamente valores del vocabulario controlado (hoja Listas)." type="list">
      <formula1>=Listas!$N$2:$N$4</formula1>
    </dataValidation>
    <dataValidation sqref="AG2:AG501" showDropDown="0" showInputMessage="0" showErrorMessage="1" allowBlank="1" errorTitle="Valor no permitido" error="Use únicamente valores del vocabulario controlado (hoja Listas)." type="list">
      <formula1>=Listas!$O$2:$O$5</formula1>
    </dataValidation>
    <dataValidation sqref="AH2:AH501" showDropDown="0" showInputMessage="0" showErrorMessage="1" allowBlank="1" errorTitle="Valor no permitido" error="Use únicamente valores del vocabulario controlado (hoja Listas)." type="list">
      <formula1>=Listas!$M$2:$M$4</formula1>
    </dataValidation>
    <dataValidation sqref="AI2:AI501" showDropDown="0" showInputMessage="0" showErrorMessage="1" allowBlank="1" errorTitle="Valor no permitido" error="Use únicamente valores del vocabulario controlado (hoja Listas)." type="list">
      <formula1>=Listas!$P$2:$P$4</formula1>
    </dataValidation>
    <dataValidation sqref="AJ2:AJ501" showDropDown="0" showInputMessage="0" showErrorMessage="1" allowBlank="1" errorTitle="Valor no permitido" error="Use únicamente valores del vocabulario controlado (hoja Listas)." type="list">
      <formula1>=Listas!$Q$2:$Q$5</formula1>
    </dataValidation>
    <dataValidation sqref="AK2:AK501" showDropDown="0" showInputMessage="0" showErrorMessage="1" allowBlank="1" errorTitle="Valor no permitido" error="Use únicamente valores del vocabulario controlado (hoja Listas)." type="list">
      <formula1>=Listas!$R$2:$R$5</formula1>
    </dataValidation>
    <dataValidation sqref="AL2:AL501" showDropDown="0" showInputMessage="0" showErrorMessage="1" allowBlank="1" errorTitle="Valor no permitido" error="Use únicamente valores del vocabulario controlado (hoja Listas)." type="list">
      <formula1>=Listas!$S$2:$S$6</formula1>
    </dataValidation>
    <dataValidation sqref="AM2:AM501" showDropDown="0" showInputMessage="0" showErrorMessage="1" allowBlank="1" errorTitle="Valor no permitido" error="Use únicamente valores del vocabulario controlado (hoja Listas)." type="list">
      <formula1>=Listas!$T$2:$T$4</formula1>
    </dataValidation>
    <dataValidation sqref="AR2:AR501" showDropDown="0" showInputMessage="0" showErrorMessage="1" allowBlank="1" errorTitle="Valor no permitido" error="Use únicamente valores del vocabulario controlado (hoja Listas)." type="list">
      <formula1>=Listas!$U$2:$U$3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42" customHeight="1">
      <c r="A1" s="1" t="inlineStr">
        <is>
          <t>ID_Integracion</t>
        </is>
      </c>
      <c r="B1" s="1" t="inlineStr">
        <is>
          <t>ID_SI_Origen</t>
        </is>
      </c>
      <c r="C1" s="1" t="inlineStr">
        <is>
          <t>Nombre_SI_Origen</t>
        </is>
      </c>
      <c r="D1" s="1" t="inlineStr">
        <is>
          <t>ID_SI_Destino_o_Activo_Destino</t>
        </is>
      </c>
      <c r="E1" s="1" t="inlineStr">
        <is>
          <t>Nombre_Destino</t>
        </is>
      </c>
      <c r="F1" s="1" t="inlineStr">
        <is>
          <t>Tipo_de_registro</t>
        </is>
      </c>
      <c r="G1" s="1" t="inlineStr">
        <is>
          <t>Tipo_de_interfaz_o_mecanismo</t>
        </is>
      </c>
      <c r="H1" s="1" t="inlineStr">
        <is>
          <t>Proposito</t>
        </is>
      </c>
      <c r="I1" s="1" t="inlineStr">
        <is>
          <t>Direccion_del_flujo</t>
        </is>
      </c>
      <c r="J1" s="1" t="inlineStr">
        <is>
          <t>Entidad_externa_relacionada</t>
        </is>
      </c>
      <c r="K1" s="1" t="inlineStr">
        <is>
          <t>Criticidad</t>
        </is>
      </c>
      <c r="L1" s="1" t="inlineStr">
        <is>
          <t>Frecuencia</t>
        </is>
      </c>
      <c r="M1" s="1" t="inlineStr">
        <is>
          <t>Responsable_tecnico</t>
        </is>
      </c>
      <c r="N1" s="1" t="inlineStr">
        <is>
          <t>Estado</t>
        </is>
      </c>
      <c r="O1" s="1" t="inlineStr">
        <is>
          <t>Observaciones</t>
        </is>
      </c>
    </row>
    <row r="2">
      <c r="C2" s="2">
        <f>IF($B2="","",IFERROR(VLOOKUP($B2,'Catálogo_SI'!$A:$B,2,FALSE),"ID no encontrado"))</f>
        <v/>
      </c>
    </row>
    <row r="3">
      <c r="C3" s="2">
        <f>IF($B3="","",IFERROR(VLOOKUP($B3,'Catálogo_SI'!$A:$B,2,FALSE),"ID no encontrado"))</f>
        <v/>
      </c>
    </row>
    <row r="4">
      <c r="C4" s="2">
        <f>IF($B4="","",IFERROR(VLOOKUP($B4,'Catálogo_SI'!$A:$B,2,FALSE),"ID no encontrado"))</f>
        <v/>
      </c>
    </row>
    <row r="5">
      <c r="C5" s="2">
        <f>IF($B5="","",IFERROR(VLOOKUP($B5,'Catálogo_SI'!$A:$B,2,FALSE),"ID no encontrado"))</f>
        <v/>
      </c>
    </row>
    <row r="6">
      <c r="C6" s="2">
        <f>IF($B6="","",IFERROR(VLOOKUP($B6,'Catálogo_SI'!$A:$B,2,FALSE),"ID no encontrado"))</f>
        <v/>
      </c>
    </row>
    <row r="7">
      <c r="C7" s="2">
        <f>IF($B7="","",IFERROR(VLOOKUP($B7,'Catálogo_SI'!$A:$B,2,FALSE),"ID no encontrado"))</f>
        <v/>
      </c>
    </row>
    <row r="8">
      <c r="C8" s="2">
        <f>IF($B8="","",IFERROR(VLOOKUP($B8,'Catálogo_SI'!$A:$B,2,FALSE),"ID no encontrado"))</f>
        <v/>
      </c>
    </row>
    <row r="9">
      <c r="C9" s="2">
        <f>IF($B9="","",IFERROR(VLOOKUP($B9,'Catálogo_SI'!$A:$B,2,FALSE),"ID no encontrado"))</f>
        <v/>
      </c>
    </row>
    <row r="10">
      <c r="C10" s="2">
        <f>IF($B10="","",IFERROR(VLOOKUP($B10,'Catálogo_SI'!$A:$B,2,FALSE),"ID no encontrado"))</f>
        <v/>
      </c>
    </row>
    <row r="11">
      <c r="C11" s="2">
        <f>IF($B11="","",IFERROR(VLOOKUP($B11,'Catálogo_SI'!$A:$B,2,FALSE),"ID no encontrado"))</f>
        <v/>
      </c>
    </row>
    <row r="12">
      <c r="C12" s="2">
        <f>IF($B12="","",IFERROR(VLOOKUP($B12,'Catálogo_SI'!$A:$B,2,FALSE),"ID no encontrado"))</f>
        <v/>
      </c>
    </row>
    <row r="13">
      <c r="C13" s="2">
        <f>IF($B13="","",IFERROR(VLOOKUP($B13,'Catálogo_SI'!$A:$B,2,FALSE),"ID no encontrado"))</f>
        <v/>
      </c>
    </row>
    <row r="14">
      <c r="C14" s="2">
        <f>IF($B14="","",IFERROR(VLOOKUP($B14,'Catálogo_SI'!$A:$B,2,FALSE),"ID no encontrado"))</f>
        <v/>
      </c>
    </row>
    <row r="15">
      <c r="C15" s="2">
        <f>IF($B15="","",IFERROR(VLOOKUP($B15,'Catálogo_SI'!$A:$B,2,FALSE),"ID no encontrado"))</f>
        <v/>
      </c>
    </row>
    <row r="16">
      <c r="C16" s="2">
        <f>IF($B16="","",IFERROR(VLOOKUP($B16,'Catálogo_SI'!$A:$B,2,FALSE),"ID no encontrado"))</f>
        <v/>
      </c>
    </row>
    <row r="17">
      <c r="C17" s="2">
        <f>IF($B17="","",IFERROR(VLOOKUP($B17,'Catálogo_SI'!$A:$B,2,FALSE),"ID no encontrado"))</f>
        <v/>
      </c>
    </row>
    <row r="18">
      <c r="C18" s="2">
        <f>IF($B18="","",IFERROR(VLOOKUP($B18,'Catálogo_SI'!$A:$B,2,FALSE),"ID no encontrado"))</f>
        <v/>
      </c>
    </row>
    <row r="19">
      <c r="C19" s="2">
        <f>IF($B19="","",IFERROR(VLOOKUP($B19,'Catálogo_SI'!$A:$B,2,FALSE),"ID no encontrado"))</f>
        <v/>
      </c>
    </row>
    <row r="20">
      <c r="C20" s="2">
        <f>IF($B20="","",IFERROR(VLOOKUP($B20,'Catálogo_SI'!$A:$B,2,FALSE),"ID no encontrado"))</f>
        <v/>
      </c>
    </row>
    <row r="21">
      <c r="C21" s="2">
        <f>IF($B21="","",IFERROR(VLOOKUP($B21,'Catálogo_SI'!$A:$B,2,FALSE),"ID no encontrado"))</f>
        <v/>
      </c>
    </row>
    <row r="22">
      <c r="C22" s="2">
        <f>IF($B22="","",IFERROR(VLOOKUP($B22,'Catálogo_SI'!$A:$B,2,FALSE),"ID no encontrado"))</f>
        <v/>
      </c>
    </row>
    <row r="23">
      <c r="C23" s="2">
        <f>IF($B23="","",IFERROR(VLOOKUP($B23,'Catálogo_SI'!$A:$B,2,FALSE),"ID no encontrado"))</f>
        <v/>
      </c>
    </row>
    <row r="24">
      <c r="C24" s="2">
        <f>IF($B24="","",IFERROR(VLOOKUP($B24,'Catálogo_SI'!$A:$B,2,FALSE),"ID no encontrado"))</f>
        <v/>
      </c>
    </row>
    <row r="25">
      <c r="C25" s="2">
        <f>IF($B25="","",IFERROR(VLOOKUP($B25,'Catálogo_SI'!$A:$B,2,FALSE),"ID no encontrado"))</f>
        <v/>
      </c>
    </row>
    <row r="26">
      <c r="C26" s="2">
        <f>IF($B26="","",IFERROR(VLOOKUP($B26,'Catálogo_SI'!$A:$B,2,FALSE),"ID no encontrado"))</f>
        <v/>
      </c>
    </row>
    <row r="27">
      <c r="C27" s="2">
        <f>IF($B27="","",IFERROR(VLOOKUP($B27,'Catálogo_SI'!$A:$B,2,FALSE),"ID no encontrado"))</f>
        <v/>
      </c>
    </row>
    <row r="28">
      <c r="C28" s="2">
        <f>IF($B28="","",IFERROR(VLOOKUP($B28,'Catálogo_SI'!$A:$B,2,FALSE),"ID no encontrado"))</f>
        <v/>
      </c>
    </row>
    <row r="29">
      <c r="C29" s="2">
        <f>IF($B29="","",IFERROR(VLOOKUP($B29,'Catálogo_SI'!$A:$B,2,FALSE),"ID no encontrado"))</f>
        <v/>
      </c>
    </row>
    <row r="30">
      <c r="C30" s="2">
        <f>IF($B30="","",IFERROR(VLOOKUP($B30,'Catálogo_SI'!$A:$B,2,FALSE),"ID no encontrado"))</f>
        <v/>
      </c>
    </row>
    <row r="31">
      <c r="C31" s="2">
        <f>IF($B31="","",IFERROR(VLOOKUP($B31,'Catálogo_SI'!$A:$B,2,FALSE),"ID no encontrado"))</f>
        <v/>
      </c>
    </row>
    <row r="32">
      <c r="C32" s="2">
        <f>IF($B32="","",IFERROR(VLOOKUP($B32,'Catálogo_SI'!$A:$B,2,FALSE),"ID no encontrado"))</f>
        <v/>
      </c>
    </row>
    <row r="33">
      <c r="C33" s="2">
        <f>IF($B33="","",IFERROR(VLOOKUP($B33,'Catálogo_SI'!$A:$B,2,FALSE),"ID no encontrado"))</f>
        <v/>
      </c>
    </row>
    <row r="34">
      <c r="C34" s="2">
        <f>IF($B34="","",IFERROR(VLOOKUP($B34,'Catálogo_SI'!$A:$B,2,FALSE),"ID no encontrado"))</f>
        <v/>
      </c>
    </row>
    <row r="35">
      <c r="C35" s="2">
        <f>IF($B35="","",IFERROR(VLOOKUP($B35,'Catálogo_SI'!$A:$B,2,FALSE),"ID no encontrado"))</f>
        <v/>
      </c>
    </row>
    <row r="36">
      <c r="C36" s="2">
        <f>IF($B36="","",IFERROR(VLOOKUP($B36,'Catálogo_SI'!$A:$B,2,FALSE),"ID no encontrado"))</f>
        <v/>
      </c>
    </row>
    <row r="37">
      <c r="C37" s="2">
        <f>IF($B37="","",IFERROR(VLOOKUP($B37,'Catálogo_SI'!$A:$B,2,FALSE),"ID no encontrado"))</f>
        <v/>
      </c>
    </row>
    <row r="38">
      <c r="C38" s="2">
        <f>IF($B38="","",IFERROR(VLOOKUP($B38,'Catálogo_SI'!$A:$B,2,FALSE),"ID no encontrado"))</f>
        <v/>
      </c>
    </row>
    <row r="39">
      <c r="C39" s="2">
        <f>IF($B39="","",IFERROR(VLOOKUP($B39,'Catálogo_SI'!$A:$B,2,FALSE),"ID no encontrado"))</f>
        <v/>
      </c>
    </row>
    <row r="40">
      <c r="C40" s="2">
        <f>IF($B40="","",IFERROR(VLOOKUP($B40,'Catálogo_SI'!$A:$B,2,FALSE),"ID no encontrado"))</f>
        <v/>
      </c>
    </row>
    <row r="41">
      <c r="C41" s="2">
        <f>IF($B41="","",IFERROR(VLOOKUP($B41,'Catálogo_SI'!$A:$B,2,FALSE),"ID no encontrado"))</f>
        <v/>
      </c>
    </row>
    <row r="42">
      <c r="C42" s="2">
        <f>IF($B42="","",IFERROR(VLOOKUP($B42,'Catálogo_SI'!$A:$B,2,FALSE),"ID no encontrado"))</f>
        <v/>
      </c>
    </row>
    <row r="43">
      <c r="C43" s="2">
        <f>IF($B43="","",IFERROR(VLOOKUP($B43,'Catálogo_SI'!$A:$B,2,FALSE),"ID no encontrado"))</f>
        <v/>
      </c>
    </row>
    <row r="44">
      <c r="C44" s="2">
        <f>IF($B44="","",IFERROR(VLOOKUP($B44,'Catálogo_SI'!$A:$B,2,FALSE),"ID no encontrado"))</f>
        <v/>
      </c>
    </row>
    <row r="45">
      <c r="C45" s="2">
        <f>IF($B45="","",IFERROR(VLOOKUP($B45,'Catálogo_SI'!$A:$B,2,FALSE),"ID no encontrado"))</f>
        <v/>
      </c>
    </row>
    <row r="46">
      <c r="C46" s="2">
        <f>IF($B46="","",IFERROR(VLOOKUP($B46,'Catálogo_SI'!$A:$B,2,FALSE),"ID no encontrado"))</f>
        <v/>
      </c>
    </row>
    <row r="47">
      <c r="C47" s="2">
        <f>IF($B47="","",IFERROR(VLOOKUP($B47,'Catálogo_SI'!$A:$B,2,FALSE),"ID no encontrado"))</f>
        <v/>
      </c>
    </row>
    <row r="48">
      <c r="C48" s="2">
        <f>IF($B48="","",IFERROR(VLOOKUP($B48,'Catálogo_SI'!$A:$B,2,FALSE),"ID no encontrado"))</f>
        <v/>
      </c>
    </row>
    <row r="49">
      <c r="C49" s="2">
        <f>IF($B49="","",IFERROR(VLOOKUP($B49,'Catálogo_SI'!$A:$B,2,FALSE),"ID no encontrado"))</f>
        <v/>
      </c>
    </row>
    <row r="50">
      <c r="C50" s="2">
        <f>IF($B50="","",IFERROR(VLOOKUP($B50,'Catálogo_SI'!$A:$B,2,FALSE),"ID no encontrado"))</f>
        <v/>
      </c>
    </row>
    <row r="51">
      <c r="C51" s="2">
        <f>IF($B51="","",IFERROR(VLOOKUP($B51,'Catálogo_SI'!$A:$B,2,FALSE),"ID no encontrado"))</f>
        <v/>
      </c>
    </row>
    <row r="52">
      <c r="C52" s="2">
        <f>IF($B52="","",IFERROR(VLOOKUP($B52,'Catálogo_SI'!$A:$B,2,FALSE),"ID no encontrado"))</f>
        <v/>
      </c>
    </row>
    <row r="53">
      <c r="C53" s="2">
        <f>IF($B53="","",IFERROR(VLOOKUP($B53,'Catálogo_SI'!$A:$B,2,FALSE),"ID no encontrado"))</f>
        <v/>
      </c>
    </row>
    <row r="54">
      <c r="C54" s="2">
        <f>IF($B54="","",IFERROR(VLOOKUP($B54,'Catálogo_SI'!$A:$B,2,FALSE),"ID no encontrado"))</f>
        <v/>
      </c>
    </row>
    <row r="55">
      <c r="C55" s="2">
        <f>IF($B55="","",IFERROR(VLOOKUP($B55,'Catálogo_SI'!$A:$B,2,FALSE),"ID no encontrado"))</f>
        <v/>
      </c>
    </row>
    <row r="56">
      <c r="C56" s="2">
        <f>IF($B56="","",IFERROR(VLOOKUP($B56,'Catálogo_SI'!$A:$B,2,FALSE),"ID no encontrado"))</f>
        <v/>
      </c>
    </row>
    <row r="57">
      <c r="C57" s="2">
        <f>IF($B57="","",IFERROR(VLOOKUP($B57,'Catálogo_SI'!$A:$B,2,FALSE),"ID no encontrado"))</f>
        <v/>
      </c>
    </row>
    <row r="58">
      <c r="C58" s="2">
        <f>IF($B58="","",IFERROR(VLOOKUP($B58,'Catálogo_SI'!$A:$B,2,FALSE),"ID no encontrado"))</f>
        <v/>
      </c>
    </row>
    <row r="59">
      <c r="C59" s="2">
        <f>IF($B59="","",IFERROR(VLOOKUP($B59,'Catálogo_SI'!$A:$B,2,FALSE),"ID no encontrado"))</f>
        <v/>
      </c>
    </row>
    <row r="60">
      <c r="C60" s="2">
        <f>IF($B60="","",IFERROR(VLOOKUP($B60,'Catálogo_SI'!$A:$B,2,FALSE),"ID no encontrado"))</f>
        <v/>
      </c>
    </row>
    <row r="61">
      <c r="C61" s="2">
        <f>IF($B61="","",IFERROR(VLOOKUP($B61,'Catálogo_SI'!$A:$B,2,FALSE),"ID no encontrado"))</f>
        <v/>
      </c>
    </row>
    <row r="62">
      <c r="C62" s="2">
        <f>IF($B62="","",IFERROR(VLOOKUP($B62,'Catálogo_SI'!$A:$B,2,FALSE),"ID no encontrado"))</f>
        <v/>
      </c>
    </row>
    <row r="63">
      <c r="C63" s="2">
        <f>IF($B63="","",IFERROR(VLOOKUP($B63,'Catálogo_SI'!$A:$B,2,FALSE),"ID no encontrado"))</f>
        <v/>
      </c>
    </row>
    <row r="64">
      <c r="C64" s="2">
        <f>IF($B64="","",IFERROR(VLOOKUP($B64,'Catálogo_SI'!$A:$B,2,FALSE),"ID no encontrado"))</f>
        <v/>
      </c>
    </row>
    <row r="65">
      <c r="C65" s="2">
        <f>IF($B65="","",IFERROR(VLOOKUP($B65,'Catálogo_SI'!$A:$B,2,FALSE),"ID no encontrado"))</f>
        <v/>
      </c>
    </row>
    <row r="66">
      <c r="C66" s="2">
        <f>IF($B66="","",IFERROR(VLOOKUP($B66,'Catálogo_SI'!$A:$B,2,FALSE),"ID no encontrado"))</f>
        <v/>
      </c>
    </row>
    <row r="67">
      <c r="C67" s="2">
        <f>IF($B67="","",IFERROR(VLOOKUP($B67,'Catálogo_SI'!$A:$B,2,FALSE),"ID no encontrado"))</f>
        <v/>
      </c>
    </row>
    <row r="68">
      <c r="C68" s="2">
        <f>IF($B68="","",IFERROR(VLOOKUP($B68,'Catálogo_SI'!$A:$B,2,FALSE),"ID no encontrado"))</f>
        <v/>
      </c>
    </row>
    <row r="69">
      <c r="C69" s="2">
        <f>IF($B69="","",IFERROR(VLOOKUP($B69,'Catálogo_SI'!$A:$B,2,FALSE),"ID no encontrado"))</f>
        <v/>
      </c>
    </row>
    <row r="70">
      <c r="C70" s="2">
        <f>IF($B70="","",IFERROR(VLOOKUP($B70,'Catálogo_SI'!$A:$B,2,FALSE),"ID no encontrado"))</f>
        <v/>
      </c>
    </row>
    <row r="71">
      <c r="C71" s="2">
        <f>IF($B71="","",IFERROR(VLOOKUP($B71,'Catálogo_SI'!$A:$B,2,FALSE),"ID no encontrado"))</f>
        <v/>
      </c>
    </row>
    <row r="72">
      <c r="C72" s="2">
        <f>IF($B72="","",IFERROR(VLOOKUP($B72,'Catálogo_SI'!$A:$B,2,FALSE),"ID no encontrado"))</f>
        <v/>
      </c>
    </row>
    <row r="73">
      <c r="C73" s="2">
        <f>IF($B73="","",IFERROR(VLOOKUP($B73,'Catálogo_SI'!$A:$B,2,FALSE),"ID no encontrado"))</f>
        <v/>
      </c>
    </row>
    <row r="74">
      <c r="C74" s="2">
        <f>IF($B74="","",IFERROR(VLOOKUP($B74,'Catálogo_SI'!$A:$B,2,FALSE),"ID no encontrado"))</f>
        <v/>
      </c>
    </row>
    <row r="75">
      <c r="C75" s="2">
        <f>IF($B75="","",IFERROR(VLOOKUP($B75,'Catálogo_SI'!$A:$B,2,FALSE),"ID no encontrado"))</f>
        <v/>
      </c>
    </row>
    <row r="76">
      <c r="C76" s="2">
        <f>IF($B76="","",IFERROR(VLOOKUP($B76,'Catálogo_SI'!$A:$B,2,FALSE),"ID no encontrado"))</f>
        <v/>
      </c>
    </row>
    <row r="77">
      <c r="C77" s="2">
        <f>IF($B77="","",IFERROR(VLOOKUP($B77,'Catálogo_SI'!$A:$B,2,FALSE),"ID no encontrado"))</f>
        <v/>
      </c>
    </row>
    <row r="78">
      <c r="C78" s="2">
        <f>IF($B78="","",IFERROR(VLOOKUP($B78,'Catálogo_SI'!$A:$B,2,FALSE),"ID no encontrado"))</f>
        <v/>
      </c>
    </row>
    <row r="79">
      <c r="C79" s="2">
        <f>IF($B79="","",IFERROR(VLOOKUP($B79,'Catálogo_SI'!$A:$B,2,FALSE),"ID no encontrado"))</f>
        <v/>
      </c>
    </row>
    <row r="80">
      <c r="C80" s="2">
        <f>IF($B80="","",IFERROR(VLOOKUP($B80,'Catálogo_SI'!$A:$B,2,FALSE),"ID no encontrado"))</f>
        <v/>
      </c>
    </row>
    <row r="81">
      <c r="C81" s="2">
        <f>IF($B81="","",IFERROR(VLOOKUP($B81,'Catálogo_SI'!$A:$B,2,FALSE),"ID no encontrado"))</f>
        <v/>
      </c>
    </row>
    <row r="82">
      <c r="C82" s="2">
        <f>IF($B82="","",IFERROR(VLOOKUP($B82,'Catálogo_SI'!$A:$B,2,FALSE),"ID no encontrado"))</f>
        <v/>
      </c>
    </row>
    <row r="83">
      <c r="C83" s="2">
        <f>IF($B83="","",IFERROR(VLOOKUP($B83,'Catálogo_SI'!$A:$B,2,FALSE),"ID no encontrado"))</f>
        <v/>
      </c>
    </row>
    <row r="84">
      <c r="C84" s="2">
        <f>IF($B84="","",IFERROR(VLOOKUP($B84,'Catálogo_SI'!$A:$B,2,FALSE),"ID no encontrado"))</f>
        <v/>
      </c>
    </row>
    <row r="85">
      <c r="C85" s="2">
        <f>IF($B85="","",IFERROR(VLOOKUP($B85,'Catálogo_SI'!$A:$B,2,FALSE),"ID no encontrado"))</f>
        <v/>
      </c>
    </row>
    <row r="86">
      <c r="C86" s="2">
        <f>IF($B86="","",IFERROR(VLOOKUP($B86,'Catálogo_SI'!$A:$B,2,FALSE),"ID no encontrado"))</f>
        <v/>
      </c>
    </row>
    <row r="87">
      <c r="C87" s="2">
        <f>IF($B87="","",IFERROR(VLOOKUP($B87,'Catálogo_SI'!$A:$B,2,FALSE),"ID no encontrado"))</f>
        <v/>
      </c>
    </row>
    <row r="88">
      <c r="C88" s="2">
        <f>IF($B88="","",IFERROR(VLOOKUP($B88,'Catálogo_SI'!$A:$B,2,FALSE),"ID no encontrado"))</f>
        <v/>
      </c>
    </row>
    <row r="89">
      <c r="C89" s="2">
        <f>IF($B89="","",IFERROR(VLOOKUP($B89,'Catálogo_SI'!$A:$B,2,FALSE),"ID no encontrado"))</f>
        <v/>
      </c>
    </row>
    <row r="90">
      <c r="C90" s="2">
        <f>IF($B90="","",IFERROR(VLOOKUP($B90,'Catálogo_SI'!$A:$B,2,FALSE),"ID no encontrado"))</f>
        <v/>
      </c>
    </row>
    <row r="91">
      <c r="C91" s="2">
        <f>IF($B91="","",IFERROR(VLOOKUP($B91,'Catálogo_SI'!$A:$B,2,FALSE),"ID no encontrado"))</f>
        <v/>
      </c>
    </row>
    <row r="92">
      <c r="C92" s="2">
        <f>IF($B92="","",IFERROR(VLOOKUP($B92,'Catálogo_SI'!$A:$B,2,FALSE),"ID no encontrado"))</f>
        <v/>
      </c>
    </row>
    <row r="93">
      <c r="C93" s="2">
        <f>IF($B93="","",IFERROR(VLOOKUP($B93,'Catálogo_SI'!$A:$B,2,FALSE),"ID no encontrado"))</f>
        <v/>
      </c>
    </row>
    <row r="94">
      <c r="C94" s="2">
        <f>IF($B94="","",IFERROR(VLOOKUP($B94,'Catálogo_SI'!$A:$B,2,FALSE),"ID no encontrado"))</f>
        <v/>
      </c>
    </row>
    <row r="95">
      <c r="C95" s="2">
        <f>IF($B95="","",IFERROR(VLOOKUP($B95,'Catálogo_SI'!$A:$B,2,FALSE),"ID no encontrado"))</f>
        <v/>
      </c>
    </row>
    <row r="96">
      <c r="C96" s="2">
        <f>IF($B96="","",IFERROR(VLOOKUP($B96,'Catálogo_SI'!$A:$B,2,FALSE),"ID no encontrado"))</f>
        <v/>
      </c>
    </row>
    <row r="97">
      <c r="C97" s="2">
        <f>IF($B97="","",IFERROR(VLOOKUP($B97,'Catálogo_SI'!$A:$B,2,FALSE),"ID no encontrado"))</f>
        <v/>
      </c>
    </row>
    <row r="98">
      <c r="C98" s="2">
        <f>IF($B98="","",IFERROR(VLOOKUP($B98,'Catálogo_SI'!$A:$B,2,FALSE),"ID no encontrado"))</f>
        <v/>
      </c>
    </row>
    <row r="99">
      <c r="C99" s="2">
        <f>IF($B99="","",IFERROR(VLOOKUP($B99,'Catálogo_SI'!$A:$B,2,FALSE),"ID no encontrado"))</f>
        <v/>
      </c>
    </row>
    <row r="100">
      <c r="C100" s="2">
        <f>IF($B100="","",IFERROR(VLOOKUP($B100,'Catálogo_SI'!$A:$B,2,FALSE),"ID no encontrado"))</f>
        <v/>
      </c>
    </row>
    <row r="101">
      <c r="C101" s="2">
        <f>IF($B101="","",IFERROR(VLOOKUP($B101,'Catálogo_SI'!$A:$B,2,FALSE),"ID no encontrado"))</f>
        <v/>
      </c>
    </row>
    <row r="102">
      <c r="C102" s="2">
        <f>IF($B102="","",IFERROR(VLOOKUP($B102,'Catálogo_SI'!$A:$B,2,FALSE),"ID no encontrado"))</f>
        <v/>
      </c>
    </row>
    <row r="103">
      <c r="C103" s="2">
        <f>IF($B103="","",IFERROR(VLOOKUP($B103,'Catálogo_SI'!$A:$B,2,FALSE),"ID no encontrado"))</f>
        <v/>
      </c>
    </row>
    <row r="104">
      <c r="C104" s="2">
        <f>IF($B104="","",IFERROR(VLOOKUP($B104,'Catálogo_SI'!$A:$B,2,FALSE),"ID no encontrado"))</f>
        <v/>
      </c>
    </row>
    <row r="105">
      <c r="C105" s="2">
        <f>IF($B105="","",IFERROR(VLOOKUP($B105,'Catálogo_SI'!$A:$B,2,FALSE),"ID no encontrado"))</f>
        <v/>
      </c>
    </row>
    <row r="106">
      <c r="C106" s="2">
        <f>IF($B106="","",IFERROR(VLOOKUP($B106,'Catálogo_SI'!$A:$B,2,FALSE),"ID no encontrado"))</f>
        <v/>
      </c>
    </row>
    <row r="107">
      <c r="C107" s="2">
        <f>IF($B107="","",IFERROR(VLOOKUP($B107,'Catálogo_SI'!$A:$B,2,FALSE),"ID no encontrado"))</f>
        <v/>
      </c>
    </row>
    <row r="108">
      <c r="C108" s="2">
        <f>IF($B108="","",IFERROR(VLOOKUP($B108,'Catálogo_SI'!$A:$B,2,FALSE),"ID no encontrado"))</f>
        <v/>
      </c>
    </row>
    <row r="109">
      <c r="C109" s="2">
        <f>IF($B109="","",IFERROR(VLOOKUP($B109,'Catálogo_SI'!$A:$B,2,FALSE),"ID no encontrado"))</f>
        <v/>
      </c>
    </row>
    <row r="110">
      <c r="C110" s="2">
        <f>IF($B110="","",IFERROR(VLOOKUP($B110,'Catálogo_SI'!$A:$B,2,FALSE),"ID no encontrado"))</f>
        <v/>
      </c>
    </row>
    <row r="111">
      <c r="C111" s="2">
        <f>IF($B111="","",IFERROR(VLOOKUP($B111,'Catálogo_SI'!$A:$B,2,FALSE),"ID no encontrado"))</f>
        <v/>
      </c>
    </row>
    <row r="112">
      <c r="C112" s="2">
        <f>IF($B112="","",IFERROR(VLOOKUP($B112,'Catálogo_SI'!$A:$B,2,FALSE),"ID no encontrado"))</f>
        <v/>
      </c>
    </row>
    <row r="113">
      <c r="C113" s="2">
        <f>IF($B113="","",IFERROR(VLOOKUP($B113,'Catálogo_SI'!$A:$B,2,FALSE),"ID no encontrado"))</f>
        <v/>
      </c>
    </row>
    <row r="114">
      <c r="C114" s="2">
        <f>IF($B114="","",IFERROR(VLOOKUP($B114,'Catálogo_SI'!$A:$B,2,FALSE),"ID no encontrado"))</f>
        <v/>
      </c>
    </row>
    <row r="115">
      <c r="C115" s="2">
        <f>IF($B115="","",IFERROR(VLOOKUP($B115,'Catálogo_SI'!$A:$B,2,FALSE),"ID no encontrado"))</f>
        <v/>
      </c>
    </row>
    <row r="116">
      <c r="C116" s="2">
        <f>IF($B116="","",IFERROR(VLOOKUP($B116,'Catálogo_SI'!$A:$B,2,FALSE),"ID no encontrado"))</f>
        <v/>
      </c>
    </row>
    <row r="117">
      <c r="C117" s="2">
        <f>IF($B117="","",IFERROR(VLOOKUP($B117,'Catálogo_SI'!$A:$B,2,FALSE),"ID no encontrado"))</f>
        <v/>
      </c>
    </row>
    <row r="118">
      <c r="C118" s="2">
        <f>IF($B118="","",IFERROR(VLOOKUP($B118,'Catálogo_SI'!$A:$B,2,FALSE),"ID no encontrado"))</f>
        <v/>
      </c>
    </row>
    <row r="119">
      <c r="C119" s="2">
        <f>IF($B119="","",IFERROR(VLOOKUP($B119,'Catálogo_SI'!$A:$B,2,FALSE),"ID no encontrado"))</f>
        <v/>
      </c>
    </row>
    <row r="120">
      <c r="C120" s="2">
        <f>IF($B120="","",IFERROR(VLOOKUP($B120,'Catálogo_SI'!$A:$B,2,FALSE),"ID no encontrado"))</f>
        <v/>
      </c>
    </row>
    <row r="121">
      <c r="C121" s="2">
        <f>IF($B121="","",IFERROR(VLOOKUP($B121,'Catálogo_SI'!$A:$B,2,FALSE),"ID no encontrado"))</f>
        <v/>
      </c>
    </row>
    <row r="122">
      <c r="C122" s="2">
        <f>IF($B122="","",IFERROR(VLOOKUP($B122,'Catálogo_SI'!$A:$B,2,FALSE),"ID no encontrado"))</f>
        <v/>
      </c>
    </row>
    <row r="123">
      <c r="C123" s="2">
        <f>IF($B123="","",IFERROR(VLOOKUP($B123,'Catálogo_SI'!$A:$B,2,FALSE),"ID no encontrado"))</f>
        <v/>
      </c>
    </row>
    <row r="124">
      <c r="C124" s="2">
        <f>IF($B124="","",IFERROR(VLOOKUP($B124,'Catálogo_SI'!$A:$B,2,FALSE),"ID no encontrado"))</f>
        <v/>
      </c>
    </row>
    <row r="125">
      <c r="C125" s="2">
        <f>IF($B125="","",IFERROR(VLOOKUP($B125,'Catálogo_SI'!$A:$B,2,FALSE),"ID no encontrado"))</f>
        <v/>
      </c>
    </row>
    <row r="126">
      <c r="C126" s="2">
        <f>IF($B126="","",IFERROR(VLOOKUP($B126,'Catálogo_SI'!$A:$B,2,FALSE),"ID no encontrado"))</f>
        <v/>
      </c>
    </row>
    <row r="127">
      <c r="C127" s="2">
        <f>IF($B127="","",IFERROR(VLOOKUP($B127,'Catálogo_SI'!$A:$B,2,FALSE),"ID no encontrado"))</f>
        <v/>
      </c>
    </row>
    <row r="128">
      <c r="C128" s="2">
        <f>IF($B128="","",IFERROR(VLOOKUP($B128,'Catálogo_SI'!$A:$B,2,FALSE),"ID no encontrado"))</f>
        <v/>
      </c>
    </row>
    <row r="129">
      <c r="C129" s="2">
        <f>IF($B129="","",IFERROR(VLOOKUP($B129,'Catálogo_SI'!$A:$B,2,FALSE),"ID no encontrado"))</f>
        <v/>
      </c>
    </row>
    <row r="130">
      <c r="C130" s="2">
        <f>IF($B130="","",IFERROR(VLOOKUP($B130,'Catálogo_SI'!$A:$B,2,FALSE),"ID no encontrado"))</f>
        <v/>
      </c>
    </row>
    <row r="131">
      <c r="C131" s="2">
        <f>IF($B131="","",IFERROR(VLOOKUP($B131,'Catálogo_SI'!$A:$B,2,FALSE),"ID no encontrado"))</f>
        <v/>
      </c>
    </row>
    <row r="132">
      <c r="C132" s="2">
        <f>IF($B132="","",IFERROR(VLOOKUP($B132,'Catálogo_SI'!$A:$B,2,FALSE),"ID no encontrado"))</f>
        <v/>
      </c>
    </row>
    <row r="133">
      <c r="C133" s="2">
        <f>IF($B133="","",IFERROR(VLOOKUP($B133,'Catálogo_SI'!$A:$B,2,FALSE),"ID no encontrado"))</f>
        <v/>
      </c>
    </row>
    <row r="134">
      <c r="C134" s="2">
        <f>IF($B134="","",IFERROR(VLOOKUP($B134,'Catálogo_SI'!$A:$B,2,FALSE),"ID no encontrado"))</f>
        <v/>
      </c>
    </row>
    <row r="135">
      <c r="C135" s="2">
        <f>IF($B135="","",IFERROR(VLOOKUP($B135,'Catálogo_SI'!$A:$B,2,FALSE),"ID no encontrado"))</f>
        <v/>
      </c>
    </row>
    <row r="136">
      <c r="C136" s="2">
        <f>IF($B136="","",IFERROR(VLOOKUP($B136,'Catálogo_SI'!$A:$B,2,FALSE),"ID no encontrado"))</f>
        <v/>
      </c>
    </row>
    <row r="137">
      <c r="C137" s="2">
        <f>IF($B137="","",IFERROR(VLOOKUP($B137,'Catálogo_SI'!$A:$B,2,FALSE),"ID no encontrado"))</f>
        <v/>
      </c>
    </row>
    <row r="138">
      <c r="C138" s="2">
        <f>IF($B138="","",IFERROR(VLOOKUP($B138,'Catálogo_SI'!$A:$B,2,FALSE),"ID no encontrado"))</f>
        <v/>
      </c>
    </row>
    <row r="139">
      <c r="C139" s="2">
        <f>IF($B139="","",IFERROR(VLOOKUP($B139,'Catálogo_SI'!$A:$B,2,FALSE),"ID no encontrado"))</f>
        <v/>
      </c>
    </row>
    <row r="140">
      <c r="C140" s="2">
        <f>IF($B140="","",IFERROR(VLOOKUP($B140,'Catálogo_SI'!$A:$B,2,FALSE),"ID no encontrado"))</f>
        <v/>
      </c>
    </row>
    <row r="141">
      <c r="C141" s="2">
        <f>IF($B141="","",IFERROR(VLOOKUP($B141,'Catálogo_SI'!$A:$B,2,FALSE),"ID no encontrado"))</f>
        <v/>
      </c>
    </row>
    <row r="142">
      <c r="C142" s="2">
        <f>IF($B142="","",IFERROR(VLOOKUP($B142,'Catálogo_SI'!$A:$B,2,FALSE),"ID no encontrado"))</f>
        <v/>
      </c>
    </row>
    <row r="143">
      <c r="C143" s="2">
        <f>IF($B143="","",IFERROR(VLOOKUP($B143,'Catálogo_SI'!$A:$B,2,FALSE),"ID no encontrado"))</f>
        <v/>
      </c>
    </row>
    <row r="144">
      <c r="C144" s="2">
        <f>IF($B144="","",IFERROR(VLOOKUP($B144,'Catálogo_SI'!$A:$B,2,FALSE),"ID no encontrado"))</f>
        <v/>
      </c>
    </row>
    <row r="145">
      <c r="C145" s="2">
        <f>IF($B145="","",IFERROR(VLOOKUP($B145,'Catálogo_SI'!$A:$B,2,FALSE),"ID no encontrado"))</f>
        <v/>
      </c>
    </row>
    <row r="146">
      <c r="C146" s="2">
        <f>IF($B146="","",IFERROR(VLOOKUP($B146,'Catálogo_SI'!$A:$B,2,FALSE),"ID no encontrado"))</f>
        <v/>
      </c>
    </row>
    <row r="147">
      <c r="C147" s="2">
        <f>IF($B147="","",IFERROR(VLOOKUP($B147,'Catálogo_SI'!$A:$B,2,FALSE),"ID no encontrado"))</f>
        <v/>
      </c>
    </row>
    <row r="148">
      <c r="C148" s="2">
        <f>IF($B148="","",IFERROR(VLOOKUP($B148,'Catálogo_SI'!$A:$B,2,FALSE),"ID no encontrado"))</f>
        <v/>
      </c>
    </row>
    <row r="149">
      <c r="C149" s="2">
        <f>IF($B149="","",IFERROR(VLOOKUP($B149,'Catálogo_SI'!$A:$B,2,FALSE),"ID no encontrado"))</f>
        <v/>
      </c>
    </row>
    <row r="150">
      <c r="C150" s="2">
        <f>IF($B150="","",IFERROR(VLOOKUP($B150,'Catálogo_SI'!$A:$B,2,FALSE),"ID no encontrado"))</f>
        <v/>
      </c>
    </row>
    <row r="151">
      <c r="C151" s="2">
        <f>IF($B151="","",IFERROR(VLOOKUP($B151,'Catálogo_SI'!$A:$B,2,FALSE),"ID no encontrado"))</f>
        <v/>
      </c>
    </row>
    <row r="152">
      <c r="C152" s="2">
        <f>IF($B152="","",IFERROR(VLOOKUP($B152,'Catálogo_SI'!$A:$B,2,FALSE),"ID no encontrado"))</f>
        <v/>
      </c>
    </row>
    <row r="153">
      <c r="C153" s="2">
        <f>IF($B153="","",IFERROR(VLOOKUP($B153,'Catálogo_SI'!$A:$B,2,FALSE),"ID no encontrado"))</f>
        <v/>
      </c>
    </row>
    <row r="154">
      <c r="C154" s="2">
        <f>IF($B154="","",IFERROR(VLOOKUP($B154,'Catálogo_SI'!$A:$B,2,FALSE),"ID no encontrado"))</f>
        <v/>
      </c>
    </row>
    <row r="155">
      <c r="C155" s="2">
        <f>IF($B155="","",IFERROR(VLOOKUP($B155,'Catálogo_SI'!$A:$B,2,FALSE),"ID no encontrado"))</f>
        <v/>
      </c>
    </row>
    <row r="156">
      <c r="C156" s="2">
        <f>IF($B156="","",IFERROR(VLOOKUP($B156,'Catálogo_SI'!$A:$B,2,FALSE),"ID no encontrado"))</f>
        <v/>
      </c>
    </row>
    <row r="157">
      <c r="C157" s="2">
        <f>IF($B157="","",IFERROR(VLOOKUP($B157,'Catálogo_SI'!$A:$B,2,FALSE),"ID no encontrado"))</f>
        <v/>
      </c>
    </row>
    <row r="158">
      <c r="C158" s="2">
        <f>IF($B158="","",IFERROR(VLOOKUP($B158,'Catálogo_SI'!$A:$B,2,FALSE),"ID no encontrado"))</f>
        <v/>
      </c>
    </row>
    <row r="159">
      <c r="C159" s="2">
        <f>IF($B159="","",IFERROR(VLOOKUP($B159,'Catálogo_SI'!$A:$B,2,FALSE),"ID no encontrado"))</f>
        <v/>
      </c>
    </row>
    <row r="160">
      <c r="C160" s="2">
        <f>IF($B160="","",IFERROR(VLOOKUP($B160,'Catálogo_SI'!$A:$B,2,FALSE),"ID no encontrado"))</f>
        <v/>
      </c>
    </row>
    <row r="161">
      <c r="C161" s="2">
        <f>IF($B161="","",IFERROR(VLOOKUP($B161,'Catálogo_SI'!$A:$B,2,FALSE),"ID no encontrado"))</f>
        <v/>
      </c>
    </row>
    <row r="162">
      <c r="C162" s="2">
        <f>IF($B162="","",IFERROR(VLOOKUP($B162,'Catálogo_SI'!$A:$B,2,FALSE),"ID no encontrado"))</f>
        <v/>
      </c>
    </row>
    <row r="163">
      <c r="C163" s="2">
        <f>IF($B163="","",IFERROR(VLOOKUP($B163,'Catálogo_SI'!$A:$B,2,FALSE),"ID no encontrado"))</f>
        <v/>
      </c>
    </row>
    <row r="164">
      <c r="C164" s="2">
        <f>IF($B164="","",IFERROR(VLOOKUP($B164,'Catálogo_SI'!$A:$B,2,FALSE),"ID no encontrado"))</f>
        <v/>
      </c>
    </row>
    <row r="165">
      <c r="C165" s="2">
        <f>IF($B165="","",IFERROR(VLOOKUP($B165,'Catálogo_SI'!$A:$B,2,FALSE),"ID no encontrado"))</f>
        <v/>
      </c>
    </row>
    <row r="166">
      <c r="C166" s="2">
        <f>IF($B166="","",IFERROR(VLOOKUP($B166,'Catálogo_SI'!$A:$B,2,FALSE),"ID no encontrado"))</f>
        <v/>
      </c>
    </row>
    <row r="167">
      <c r="C167" s="2">
        <f>IF($B167="","",IFERROR(VLOOKUP($B167,'Catálogo_SI'!$A:$B,2,FALSE),"ID no encontrado"))</f>
        <v/>
      </c>
    </row>
    <row r="168">
      <c r="C168" s="2">
        <f>IF($B168="","",IFERROR(VLOOKUP($B168,'Catálogo_SI'!$A:$B,2,FALSE),"ID no encontrado"))</f>
        <v/>
      </c>
    </row>
    <row r="169">
      <c r="C169" s="2">
        <f>IF($B169="","",IFERROR(VLOOKUP($B169,'Catálogo_SI'!$A:$B,2,FALSE),"ID no encontrado"))</f>
        <v/>
      </c>
    </row>
    <row r="170">
      <c r="C170" s="2">
        <f>IF($B170="","",IFERROR(VLOOKUP($B170,'Catálogo_SI'!$A:$B,2,FALSE),"ID no encontrado"))</f>
        <v/>
      </c>
    </row>
    <row r="171">
      <c r="C171" s="2">
        <f>IF($B171="","",IFERROR(VLOOKUP($B171,'Catálogo_SI'!$A:$B,2,FALSE),"ID no encontrado"))</f>
        <v/>
      </c>
    </row>
    <row r="172">
      <c r="C172" s="2">
        <f>IF($B172="","",IFERROR(VLOOKUP($B172,'Catálogo_SI'!$A:$B,2,FALSE),"ID no encontrado"))</f>
        <v/>
      </c>
    </row>
    <row r="173">
      <c r="C173" s="2">
        <f>IF($B173="","",IFERROR(VLOOKUP($B173,'Catálogo_SI'!$A:$B,2,FALSE),"ID no encontrado"))</f>
        <v/>
      </c>
    </row>
    <row r="174">
      <c r="C174" s="2">
        <f>IF($B174="","",IFERROR(VLOOKUP($B174,'Catálogo_SI'!$A:$B,2,FALSE),"ID no encontrado"))</f>
        <v/>
      </c>
    </row>
    <row r="175">
      <c r="C175" s="2">
        <f>IF($B175="","",IFERROR(VLOOKUP($B175,'Catálogo_SI'!$A:$B,2,FALSE),"ID no encontrado"))</f>
        <v/>
      </c>
    </row>
    <row r="176">
      <c r="C176" s="2">
        <f>IF($B176="","",IFERROR(VLOOKUP($B176,'Catálogo_SI'!$A:$B,2,FALSE),"ID no encontrado"))</f>
        <v/>
      </c>
    </row>
    <row r="177">
      <c r="C177" s="2">
        <f>IF($B177="","",IFERROR(VLOOKUP($B177,'Catálogo_SI'!$A:$B,2,FALSE),"ID no encontrado"))</f>
        <v/>
      </c>
    </row>
    <row r="178">
      <c r="C178" s="2">
        <f>IF($B178="","",IFERROR(VLOOKUP($B178,'Catálogo_SI'!$A:$B,2,FALSE),"ID no encontrado"))</f>
        <v/>
      </c>
    </row>
    <row r="179">
      <c r="C179" s="2">
        <f>IF($B179="","",IFERROR(VLOOKUP($B179,'Catálogo_SI'!$A:$B,2,FALSE),"ID no encontrado"))</f>
        <v/>
      </c>
    </row>
    <row r="180">
      <c r="C180" s="2">
        <f>IF($B180="","",IFERROR(VLOOKUP($B180,'Catálogo_SI'!$A:$B,2,FALSE),"ID no encontrado"))</f>
        <v/>
      </c>
    </row>
    <row r="181">
      <c r="C181" s="2">
        <f>IF($B181="","",IFERROR(VLOOKUP($B181,'Catálogo_SI'!$A:$B,2,FALSE),"ID no encontrado"))</f>
        <v/>
      </c>
    </row>
    <row r="182">
      <c r="C182" s="2">
        <f>IF($B182="","",IFERROR(VLOOKUP($B182,'Catálogo_SI'!$A:$B,2,FALSE),"ID no encontrado"))</f>
        <v/>
      </c>
    </row>
    <row r="183">
      <c r="C183" s="2">
        <f>IF($B183="","",IFERROR(VLOOKUP($B183,'Catálogo_SI'!$A:$B,2,FALSE),"ID no encontrado"))</f>
        <v/>
      </c>
    </row>
    <row r="184">
      <c r="C184" s="2">
        <f>IF($B184="","",IFERROR(VLOOKUP($B184,'Catálogo_SI'!$A:$B,2,FALSE),"ID no encontrado"))</f>
        <v/>
      </c>
    </row>
    <row r="185">
      <c r="C185" s="2">
        <f>IF($B185="","",IFERROR(VLOOKUP($B185,'Catálogo_SI'!$A:$B,2,FALSE),"ID no encontrado"))</f>
        <v/>
      </c>
    </row>
    <row r="186">
      <c r="C186" s="2">
        <f>IF($B186="","",IFERROR(VLOOKUP($B186,'Catálogo_SI'!$A:$B,2,FALSE),"ID no encontrado"))</f>
        <v/>
      </c>
    </row>
    <row r="187">
      <c r="C187" s="2">
        <f>IF($B187="","",IFERROR(VLOOKUP($B187,'Catálogo_SI'!$A:$B,2,FALSE),"ID no encontrado"))</f>
        <v/>
      </c>
    </row>
    <row r="188">
      <c r="C188" s="2">
        <f>IF($B188="","",IFERROR(VLOOKUP($B188,'Catálogo_SI'!$A:$B,2,FALSE),"ID no encontrado"))</f>
        <v/>
      </c>
    </row>
    <row r="189">
      <c r="C189" s="2">
        <f>IF($B189="","",IFERROR(VLOOKUP($B189,'Catálogo_SI'!$A:$B,2,FALSE),"ID no encontrado"))</f>
        <v/>
      </c>
    </row>
    <row r="190">
      <c r="C190" s="2">
        <f>IF($B190="","",IFERROR(VLOOKUP($B190,'Catálogo_SI'!$A:$B,2,FALSE),"ID no encontrado"))</f>
        <v/>
      </c>
    </row>
    <row r="191">
      <c r="C191" s="2">
        <f>IF($B191="","",IFERROR(VLOOKUP($B191,'Catálogo_SI'!$A:$B,2,FALSE),"ID no encontrado"))</f>
        <v/>
      </c>
    </row>
    <row r="192">
      <c r="C192" s="2">
        <f>IF($B192="","",IFERROR(VLOOKUP($B192,'Catálogo_SI'!$A:$B,2,FALSE),"ID no encontrado"))</f>
        <v/>
      </c>
    </row>
    <row r="193">
      <c r="C193" s="2">
        <f>IF($B193="","",IFERROR(VLOOKUP($B193,'Catálogo_SI'!$A:$B,2,FALSE),"ID no encontrado"))</f>
        <v/>
      </c>
    </row>
    <row r="194">
      <c r="C194" s="2">
        <f>IF($B194="","",IFERROR(VLOOKUP($B194,'Catálogo_SI'!$A:$B,2,FALSE),"ID no encontrado"))</f>
        <v/>
      </c>
    </row>
    <row r="195">
      <c r="C195" s="2">
        <f>IF($B195="","",IFERROR(VLOOKUP($B195,'Catálogo_SI'!$A:$B,2,FALSE),"ID no encontrado"))</f>
        <v/>
      </c>
    </row>
    <row r="196">
      <c r="C196" s="2">
        <f>IF($B196="","",IFERROR(VLOOKUP($B196,'Catálogo_SI'!$A:$B,2,FALSE),"ID no encontrado"))</f>
        <v/>
      </c>
    </row>
    <row r="197">
      <c r="C197" s="2">
        <f>IF($B197="","",IFERROR(VLOOKUP($B197,'Catálogo_SI'!$A:$B,2,FALSE),"ID no encontrado"))</f>
        <v/>
      </c>
    </row>
    <row r="198">
      <c r="C198" s="2">
        <f>IF($B198="","",IFERROR(VLOOKUP($B198,'Catálogo_SI'!$A:$B,2,FALSE),"ID no encontrado"))</f>
        <v/>
      </c>
    </row>
    <row r="199">
      <c r="C199" s="2">
        <f>IF($B199="","",IFERROR(VLOOKUP($B199,'Catálogo_SI'!$A:$B,2,FALSE),"ID no encontrado"))</f>
        <v/>
      </c>
    </row>
    <row r="200">
      <c r="C200" s="2">
        <f>IF($B200="","",IFERROR(VLOOKUP($B200,'Catálogo_SI'!$A:$B,2,FALSE),"ID no encontrado"))</f>
        <v/>
      </c>
    </row>
    <row r="201">
      <c r="C201" s="2">
        <f>IF($B201="","",IFERROR(VLOOKUP($B201,'Catálogo_SI'!$A:$B,2,FALSE),"ID no encontrado"))</f>
        <v/>
      </c>
    </row>
    <row r="202">
      <c r="C202" s="2">
        <f>IF($B202="","",IFERROR(VLOOKUP($B202,'Catálogo_SI'!$A:$B,2,FALSE),"ID no encontrado"))</f>
        <v/>
      </c>
    </row>
    <row r="203">
      <c r="C203" s="2">
        <f>IF($B203="","",IFERROR(VLOOKUP($B203,'Catálogo_SI'!$A:$B,2,FALSE),"ID no encontrado"))</f>
        <v/>
      </c>
    </row>
    <row r="204">
      <c r="C204" s="2">
        <f>IF($B204="","",IFERROR(VLOOKUP($B204,'Catálogo_SI'!$A:$B,2,FALSE),"ID no encontrado"))</f>
        <v/>
      </c>
    </row>
    <row r="205">
      <c r="C205" s="2">
        <f>IF($B205="","",IFERROR(VLOOKUP($B205,'Catálogo_SI'!$A:$B,2,FALSE),"ID no encontrado"))</f>
        <v/>
      </c>
    </row>
    <row r="206">
      <c r="C206" s="2">
        <f>IF($B206="","",IFERROR(VLOOKUP($B206,'Catálogo_SI'!$A:$B,2,FALSE),"ID no encontrado"))</f>
        <v/>
      </c>
    </row>
    <row r="207">
      <c r="C207" s="2">
        <f>IF($B207="","",IFERROR(VLOOKUP($B207,'Catálogo_SI'!$A:$B,2,FALSE),"ID no encontrado"))</f>
        <v/>
      </c>
    </row>
    <row r="208">
      <c r="C208" s="2">
        <f>IF($B208="","",IFERROR(VLOOKUP($B208,'Catálogo_SI'!$A:$B,2,FALSE),"ID no encontrado"))</f>
        <v/>
      </c>
    </row>
    <row r="209">
      <c r="C209" s="2">
        <f>IF($B209="","",IFERROR(VLOOKUP($B209,'Catálogo_SI'!$A:$B,2,FALSE),"ID no encontrado"))</f>
        <v/>
      </c>
    </row>
    <row r="210">
      <c r="C210" s="2">
        <f>IF($B210="","",IFERROR(VLOOKUP($B210,'Catálogo_SI'!$A:$B,2,FALSE),"ID no encontrado"))</f>
        <v/>
      </c>
    </row>
    <row r="211">
      <c r="C211" s="2">
        <f>IF($B211="","",IFERROR(VLOOKUP($B211,'Catálogo_SI'!$A:$B,2,FALSE),"ID no encontrado"))</f>
        <v/>
      </c>
    </row>
    <row r="212">
      <c r="C212" s="2">
        <f>IF($B212="","",IFERROR(VLOOKUP($B212,'Catálogo_SI'!$A:$B,2,FALSE),"ID no encontrado"))</f>
        <v/>
      </c>
    </row>
    <row r="213">
      <c r="C213" s="2">
        <f>IF($B213="","",IFERROR(VLOOKUP($B213,'Catálogo_SI'!$A:$B,2,FALSE),"ID no encontrado"))</f>
        <v/>
      </c>
    </row>
    <row r="214">
      <c r="C214" s="2">
        <f>IF($B214="","",IFERROR(VLOOKUP($B214,'Catálogo_SI'!$A:$B,2,FALSE),"ID no encontrado"))</f>
        <v/>
      </c>
    </row>
    <row r="215">
      <c r="C215" s="2">
        <f>IF($B215="","",IFERROR(VLOOKUP($B215,'Catálogo_SI'!$A:$B,2,FALSE),"ID no encontrado"))</f>
        <v/>
      </c>
    </row>
    <row r="216">
      <c r="C216" s="2">
        <f>IF($B216="","",IFERROR(VLOOKUP($B216,'Catálogo_SI'!$A:$B,2,FALSE),"ID no encontrado"))</f>
        <v/>
      </c>
    </row>
    <row r="217">
      <c r="C217" s="2">
        <f>IF($B217="","",IFERROR(VLOOKUP($B217,'Catálogo_SI'!$A:$B,2,FALSE),"ID no encontrado"))</f>
        <v/>
      </c>
    </row>
    <row r="218">
      <c r="C218" s="2">
        <f>IF($B218="","",IFERROR(VLOOKUP($B218,'Catálogo_SI'!$A:$B,2,FALSE),"ID no encontrado"))</f>
        <v/>
      </c>
    </row>
    <row r="219">
      <c r="C219" s="2">
        <f>IF($B219="","",IFERROR(VLOOKUP($B219,'Catálogo_SI'!$A:$B,2,FALSE),"ID no encontrado"))</f>
        <v/>
      </c>
    </row>
    <row r="220">
      <c r="C220" s="2">
        <f>IF($B220="","",IFERROR(VLOOKUP($B220,'Catálogo_SI'!$A:$B,2,FALSE),"ID no encontrado"))</f>
        <v/>
      </c>
    </row>
    <row r="221">
      <c r="C221" s="2">
        <f>IF($B221="","",IFERROR(VLOOKUP($B221,'Catálogo_SI'!$A:$B,2,FALSE),"ID no encontrado"))</f>
        <v/>
      </c>
    </row>
    <row r="222">
      <c r="C222" s="2">
        <f>IF($B222="","",IFERROR(VLOOKUP($B222,'Catálogo_SI'!$A:$B,2,FALSE),"ID no encontrado"))</f>
        <v/>
      </c>
    </row>
    <row r="223">
      <c r="C223" s="2">
        <f>IF($B223="","",IFERROR(VLOOKUP($B223,'Catálogo_SI'!$A:$B,2,FALSE),"ID no encontrado"))</f>
        <v/>
      </c>
    </row>
    <row r="224">
      <c r="C224" s="2">
        <f>IF($B224="","",IFERROR(VLOOKUP($B224,'Catálogo_SI'!$A:$B,2,FALSE),"ID no encontrado"))</f>
        <v/>
      </c>
    </row>
    <row r="225">
      <c r="C225" s="2">
        <f>IF($B225="","",IFERROR(VLOOKUP($B225,'Catálogo_SI'!$A:$B,2,FALSE),"ID no encontrado"))</f>
        <v/>
      </c>
    </row>
    <row r="226">
      <c r="C226" s="2">
        <f>IF($B226="","",IFERROR(VLOOKUP($B226,'Catálogo_SI'!$A:$B,2,FALSE),"ID no encontrado"))</f>
        <v/>
      </c>
    </row>
    <row r="227">
      <c r="C227" s="2">
        <f>IF($B227="","",IFERROR(VLOOKUP($B227,'Catálogo_SI'!$A:$B,2,FALSE),"ID no encontrado"))</f>
        <v/>
      </c>
    </row>
    <row r="228">
      <c r="C228" s="2">
        <f>IF($B228="","",IFERROR(VLOOKUP($B228,'Catálogo_SI'!$A:$B,2,FALSE),"ID no encontrado"))</f>
        <v/>
      </c>
    </row>
    <row r="229">
      <c r="C229" s="2">
        <f>IF($B229="","",IFERROR(VLOOKUP($B229,'Catálogo_SI'!$A:$B,2,FALSE),"ID no encontrado"))</f>
        <v/>
      </c>
    </row>
    <row r="230">
      <c r="C230" s="2">
        <f>IF($B230="","",IFERROR(VLOOKUP($B230,'Catálogo_SI'!$A:$B,2,FALSE),"ID no encontrado"))</f>
        <v/>
      </c>
    </row>
    <row r="231">
      <c r="C231" s="2">
        <f>IF($B231="","",IFERROR(VLOOKUP($B231,'Catálogo_SI'!$A:$B,2,FALSE),"ID no encontrado"))</f>
        <v/>
      </c>
    </row>
    <row r="232">
      <c r="C232" s="2">
        <f>IF($B232="","",IFERROR(VLOOKUP($B232,'Catálogo_SI'!$A:$B,2,FALSE),"ID no encontrado"))</f>
        <v/>
      </c>
    </row>
    <row r="233">
      <c r="C233" s="2">
        <f>IF($B233="","",IFERROR(VLOOKUP($B233,'Catálogo_SI'!$A:$B,2,FALSE),"ID no encontrado"))</f>
        <v/>
      </c>
    </row>
    <row r="234">
      <c r="C234" s="2">
        <f>IF($B234="","",IFERROR(VLOOKUP($B234,'Catálogo_SI'!$A:$B,2,FALSE),"ID no encontrado"))</f>
        <v/>
      </c>
    </row>
    <row r="235">
      <c r="C235" s="2">
        <f>IF($B235="","",IFERROR(VLOOKUP($B235,'Catálogo_SI'!$A:$B,2,FALSE),"ID no encontrado"))</f>
        <v/>
      </c>
    </row>
    <row r="236">
      <c r="C236" s="2">
        <f>IF($B236="","",IFERROR(VLOOKUP($B236,'Catálogo_SI'!$A:$B,2,FALSE),"ID no encontrado"))</f>
        <v/>
      </c>
    </row>
    <row r="237">
      <c r="C237" s="2">
        <f>IF($B237="","",IFERROR(VLOOKUP($B237,'Catálogo_SI'!$A:$B,2,FALSE),"ID no encontrado"))</f>
        <v/>
      </c>
    </row>
    <row r="238">
      <c r="C238" s="2">
        <f>IF($B238="","",IFERROR(VLOOKUP($B238,'Catálogo_SI'!$A:$B,2,FALSE),"ID no encontrado"))</f>
        <v/>
      </c>
    </row>
    <row r="239">
      <c r="C239" s="2">
        <f>IF($B239="","",IFERROR(VLOOKUP($B239,'Catálogo_SI'!$A:$B,2,FALSE),"ID no encontrado"))</f>
        <v/>
      </c>
    </row>
    <row r="240">
      <c r="C240" s="2">
        <f>IF($B240="","",IFERROR(VLOOKUP($B240,'Catálogo_SI'!$A:$B,2,FALSE),"ID no encontrado"))</f>
        <v/>
      </c>
    </row>
    <row r="241">
      <c r="C241" s="2">
        <f>IF($B241="","",IFERROR(VLOOKUP($B241,'Catálogo_SI'!$A:$B,2,FALSE),"ID no encontrado"))</f>
        <v/>
      </c>
    </row>
    <row r="242">
      <c r="C242" s="2">
        <f>IF($B242="","",IFERROR(VLOOKUP($B242,'Catálogo_SI'!$A:$B,2,FALSE),"ID no encontrado"))</f>
        <v/>
      </c>
    </row>
    <row r="243">
      <c r="C243" s="2">
        <f>IF($B243="","",IFERROR(VLOOKUP($B243,'Catálogo_SI'!$A:$B,2,FALSE),"ID no encontrado"))</f>
        <v/>
      </c>
    </row>
    <row r="244">
      <c r="C244" s="2">
        <f>IF($B244="","",IFERROR(VLOOKUP($B244,'Catálogo_SI'!$A:$B,2,FALSE),"ID no encontrado"))</f>
        <v/>
      </c>
    </row>
    <row r="245">
      <c r="C245" s="2">
        <f>IF($B245="","",IFERROR(VLOOKUP($B245,'Catálogo_SI'!$A:$B,2,FALSE),"ID no encontrado"))</f>
        <v/>
      </c>
    </row>
    <row r="246">
      <c r="C246" s="2">
        <f>IF($B246="","",IFERROR(VLOOKUP($B246,'Catálogo_SI'!$A:$B,2,FALSE),"ID no encontrado"))</f>
        <v/>
      </c>
    </row>
    <row r="247">
      <c r="C247" s="2">
        <f>IF($B247="","",IFERROR(VLOOKUP($B247,'Catálogo_SI'!$A:$B,2,FALSE),"ID no encontrado"))</f>
        <v/>
      </c>
    </row>
    <row r="248">
      <c r="C248" s="2">
        <f>IF($B248="","",IFERROR(VLOOKUP($B248,'Catálogo_SI'!$A:$B,2,FALSE),"ID no encontrado"))</f>
        <v/>
      </c>
    </row>
    <row r="249">
      <c r="C249" s="2">
        <f>IF($B249="","",IFERROR(VLOOKUP($B249,'Catálogo_SI'!$A:$B,2,FALSE),"ID no encontrado"))</f>
        <v/>
      </c>
    </row>
    <row r="250">
      <c r="C250" s="2">
        <f>IF($B250="","",IFERROR(VLOOKUP($B250,'Catálogo_SI'!$A:$B,2,FALSE),"ID no encontrado"))</f>
        <v/>
      </c>
    </row>
    <row r="251">
      <c r="C251" s="2">
        <f>IF($B251="","",IFERROR(VLOOKUP($B251,'Catálogo_SI'!$A:$B,2,FALSE),"ID no encontrado"))</f>
        <v/>
      </c>
    </row>
    <row r="252">
      <c r="C252" s="2">
        <f>IF($B252="","",IFERROR(VLOOKUP($B252,'Catálogo_SI'!$A:$B,2,FALSE),"ID no encontrado"))</f>
        <v/>
      </c>
    </row>
    <row r="253">
      <c r="C253" s="2">
        <f>IF($B253="","",IFERROR(VLOOKUP($B253,'Catálogo_SI'!$A:$B,2,FALSE),"ID no encontrado"))</f>
        <v/>
      </c>
    </row>
    <row r="254">
      <c r="C254" s="2">
        <f>IF($B254="","",IFERROR(VLOOKUP($B254,'Catálogo_SI'!$A:$B,2,FALSE),"ID no encontrado"))</f>
        <v/>
      </c>
    </row>
    <row r="255">
      <c r="C255" s="2">
        <f>IF($B255="","",IFERROR(VLOOKUP($B255,'Catálogo_SI'!$A:$B,2,FALSE),"ID no encontrado"))</f>
        <v/>
      </c>
    </row>
    <row r="256">
      <c r="C256" s="2">
        <f>IF($B256="","",IFERROR(VLOOKUP($B256,'Catálogo_SI'!$A:$B,2,FALSE),"ID no encontrado"))</f>
        <v/>
      </c>
    </row>
    <row r="257">
      <c r="C257" s="2">
        <f>IF($B257="","",IFERROR(VLOOKUP($B257,'Catálogo_SI'!$A:$B,2,FALSE),"ID no encontrado"))</f>
        <v/>
      </c>
    </row>
    <row r="258">
      <c r="C258" s="2">
        <f>IF($B258="","",IFERROR(VLOOKUP($B258,'Catálogo_SI'!$A:$B,2,FALSE),"ID no encontrado"))</f>
        <v/>
      </c>
    </row>
    <row r="259">
      <c r="C259" s="2">
        <f>IF($B259="","",IFERROR(VLOOKUP($B259,'Catálogo_SI'!$A:$B,2,FALSE),"ID no encontrado"))</f>
        <v/>
      </c>
    </row>
    <row r="260">
      <c r="C260" s="2">
        <f>IF($B260="","",IFERROR(VLOOKUP($B260,'Catálogo_SI'!$A:$B,2,FALSE),"ID no encontrado"))</f>
        <v/>
      </c>
    </row>
    <row r="261">
      <c r="C261" s="2">
        <f>IF($B261="","",IFERROR(VLOOKUP($B261,'Catálogo_SI'!$A:$B,2,FALSE),"ID no encontrado"))</f>
        <v/>
      </c>
    </row>
    <row r="262">
      <c r="C262" s="2">
        <f>IF($B262="","",IFERROR(VLOOKUP($B262,'Catálogo_SI'!$A:$B,2,FALSE),"ID no encontrado"))</f>
        <v/>
      </c>
    </row>
    <row r="263">
      <c r="C263" s="2">
        <f>IF($B263="","",IFERROR(VLOOKUP($B263,'Catálogo_SI'!$A:$B,2,FALSE),"ID no encontrado"))</f>
        <v/>
      </c>
    </row>
    <row r="264">
      <c r="C264" s="2">
        <f>IF($B264="","",IFERROR(VLOOKUP($B264,'Catálogo_SI'!$A:$B,2,FALSE),"ID no encontrado"))</f>
        <v/>
      </c>
    </row>
    <row r="265">
      <c r="C265" s="2">
        <f>IF($B265="","",IFERROR(VLOOKUP($B265,'Catálogo_SI'!$A:$B,2,FALSE),"ID no encontrado"))</f>
        <v/>
      </c>
    </row>
    <row r="266">
      <c r="C266" s="2">
        <f>IF($B266="","",IFERROR(VLOOKUP($B266,'Catálogo_SI'!$A:$B,2,FALSE),"ID no encontrado"))</f>
        <v/>
      </c>
    </row>
    <row r="267">
      <c r="C267" s="2">
        <f>IF($B267="","",IFERROR(VLOOKUP($B267,'Catálogo_SI'!$A:$B,2,FALSE),"ID no encontrado"))</f>
        <v/>
      </c>
    </row>
    <row r="268">
      <c r="C268" s="2">
        <f>IF($B268="","",IFERROR(VLOOKUP($B268,'Catálogo_SI'!$A:$B,2,FALSE),"ID no encontrado"))</f>
        <v/>
      </c>
    </row>
    <row r="269">
      <c r="C269" s="2">
        <f>IF($B269="","",IFERROR(VLOOKUP($B269,'Catálogo_SI'!$A:$B,2,FALSE),"ID no encontrado"))</f>
        <v/>
      </c>
    </row>
    <row r="270">
      <c r="C270" s="2">
        <f>IF($B270="","",IFERROR(VLOOKUP($B270,'Catálogo_SI'!$A:$B,2,FALSE),"ID no encontrado"))</f>
        <v/>
      </c>
    </row>
    <row r="271">
      <c r="C271" s="2">
        <f>IF($B271="","",IFERROR(VLOOKUP($B271,'Catálogo_SI'!$A:$B,2,FALSE),"ID no encontrado"))</f>
        <v/>
      </c>
    </row>
    <row r="272">
      <c r="C272" s="2">
        <f>IF($B272="","",IFERROR(VLOOKUP($B272,'Catálogo_SI'!$A:$B,2,FALSE),"ID no encontrado"))</f>
        <v/>
      </c>
    </row>
    <row r="273">
      <c r="C273" s="2">
        <f>IF($B273="","",IFERROR(VLOOKUP($B273,'Catálogo_SI'!$A:$B,2,FALSE),"ID no encontrado"))</f>
        <v/>
      </c>
    </row>
    <row r="274">
      <c r="C274" s="2">
        <f>IF($B274="","",IFERROR(VLOOKUP($B274,'Catálogo_SI'!$A:$B,2,FALSE),"ID no encontrado"))</f>
        <v/>
      </c>
    </row>
    <row r="275">
      <c r="C275" s="2">
        <f>IF($B275="","",IFERROR(VLOOKUP($B275,'Catálogo_SI'!$A:$B,2,FALSE),"ID no encontrado"))</f>
        <v/>
      </c>
    </row>
    <row r="276">
      <c r="C276" s="2">
        <f>IF($B276="","",IFERROR(VLOOKUP($B276,'Catálogo_SI'!$A:$B,2,FALSE),"ID no encontrado"))</f>
        <v/>
      </c>
    </row>
    <row r="277">
      <c r="C277" s="2">
        <f>IF($B277="","",IFERROR(VLOOKUP($B277,'Catálogo_SI'!$A:$B,2,FALSE),"ID no encontrado"))</f>
        <v/>
      </c>
    </row>
    <row r="278">
      <c r="C278" s="2">
        <f>IF($B278="","",IFERROR(VLOOKUP($B278,'Catálogo_SI'!$A:$B,2,FALSE),"ID no encontrado"))</f>
        <v/>
      </c>
    </row>
    <row r="279">
      <c r="C279" s="2">
        <f>IF($B279="","",IFERROR(VLOOKUP($B279,'Catálogo_SI'!$A:$B,2,FALSE),"ID no encontrado"))</f>
        <v/>
      </c>
    </row>
    <row r="280">
      <c r="C280" s="2">
        <f>IF($B280="","",IFERROR(VLOOKUP($B280,'Catálogo_SI'!$A:$B,2,FALSE),"ID no encontrado"))</f>
        <v/>
      </c>
    </row>
    <row r="281">
      <c r="C281" s="2">
        <f>IF($B281="","",IFERROR(VLOOKUP($B281,'Catálogo_SI'!$A:$B,2,FALSE),"ID no encontrado"))</f>
        <v/>
      </c>
    </row>
    <row r="282">
      <c r="C282" s="2">
        <f>IF($B282="","",IFERROR(VLOOKUP($B282,'Catálogo_SI'!$A:$B,2,FALSE),"ID no encontrado"))</f>
        <v/>
      </c>
    </row>
    <row r="283">
      <c r="C283" s="2">
        <f>IF($B283="","",IFERROR(VLOOKUP($B283,'Catálogo_SI'!$A:$B,2,FALSE),"ID no encontrado"))</f>
        <v/>
      </c>
    </row>
    <row r="284">
      <c r="C284" s="2">
        <f>IF($B284="","",IFERROR(VLOOKUP($B284,'Catálogo_SI'!$A:$B,2,FALSE),"ID no encontrado"))</f>
        <v/>
      </c>
    </row>
    <row r="285">
      <c r="C285" s="2">
        <f>IF($B285="","",IFERROR(VLOOKUP($B285,'Catálogo_SI'!$A:$B,2,FALSE),"ID no encontrado"))</f>
        <v/>
      </c>
    </row>
    <row r="286">
      <c r="C286" s="2">
        <f>IF($B286="","",IFERROR(VLOOKUP($B286,'Catálogo_SI'!$A:$B,2,FALSE),"ID no encontrado"))</f>
        <v/>
      </c>
    </row>
    <row r="287">
      <c r="C287" s="2">
        <f>IF($B287="","",IFERROR(VLOOKUP($B287,'Catálogo_SI'!$A:$B,2,FALSE),"ID no encontrado"))</f>
        <v/>
      </c>
    </row>
    <row r="288">
      <c r="C288" s="2">
        <f>IF($B288="","",IFERROR(VLOOKUP($B288,'Catálogo_SI'!$A:$B,2,FALSE),"ID no encontrado"))</f>
        <v/>
      </c>
    </row>
    <row r="289">
      <c r="C289" s="2">
        <f>IF($B289="","",IFERROR(VLOOKUP($B289,'Catálogo_SI'!$A:$B,2,FALSE),"ID no encontrado"))</f>
        <v/>
      </c>
    </row>
    <row r="290">
      <c r="C290" s="2">
        <f>IF($B290="","",IFERROR(VLOOKUP($B290,'Catálogo_SI'!$A:$B,2,FALSE),"ID no encontrado"))</f>
        <v/>
      </c>
    </row>
    <row r="291">
      <c r="C291" s="2">
        <f>IF($B291="","",IFERROR(VLOOKUP($B291,'Catálogo_SI'!$A:$B,2,FALSE),"ID no encontrado"))</f>
        <v/>
      </c>
    </row>
    <row r="292">
      <c r="C292" s="2">
        <f>IF($B292="","",IFERROR(VLOOKUP($B292,'Catálogo_SI'!$A:$B,2,FALSE),"ID no encontrado"))</f>
        <v/>
      </c>
    </row>
    <row r="293">
      <c r="C293" s="2">
        <f>IF($B293="","",IFERROR(VLOOKUP($B293,'Catálogo_SI'!$A:$B,2,FALSE),"ID no encontrado"))</f>
        <v/>
      </c>
    </row>
    <row r="294">
      <c r="C294" s="2">
        <f>IF($B294="","",IFERROR(VLOOKUP($B294,'Catálogo_SI'!$A:$B,2,FALSE),"ID no encontrado"))</f>
        <v/>
      </c>
    </row>
    <row r="295">
      <c r="C295" s="2">
        <f>IF($B295="","",IFERROR(VLOOKUP($B295,'Catálogo_SI'!$A:$B,2,FALSE),"ID no encontrado"))</f>
        <v/>
      </c>
    </row>
    <row r="296">
      <c r="C296" s="2">
        <f>IF($B296="","",IFERROR(VLOOKUP($B296,'Catálogo_SI'!$A:$B,2,FALSE),"ID no encontrado"))</f>
        <v/>
      </c>
    </row>
    <row r="297">
      <c r="C297" s="2">
        <f>IF($B297="","",IFERROR(VLOOKUP($B297,'Catálogo_SI'!$A:$B,2,FALSE),"ID no encontrado"))</f>
        <v/>
      </c>
    </row>
    <row r="298">
      <c r="C298" s="2">
        <f>IF($B298="","",IFERROR(VLOOKUP($B298,'Catálogo_SI'!$A:$B,2,FALSE),"ID no encontrado"))</f>
        <v/>
      </c>
    </row>
    <row r="299">
      <c r="C299" s="2">
        <f>IF($B299="","",IFERROR(VLOOKUP($B299,'Catálogo_SI'!$A:$B,2,FALSE),"ID no encontrado"))</f>
        <v/>
      </c>
    </row>
    <row r="300">
      <c r="C300" s="2">
        <f>IF($B300="","",IFERROR(VLOOKUP($B300,'Catálogo_SI'!$A:$B,2,FALSE),"ID no encontrado"))</f>
        <v/>
      </c>
    </row>
    <row r="301">
      <c r="C301" s="2">
        <f>IF($B301="","",IFERROR(VLOOKUP($B301,'Catálogo_SI'!$A:$B,2,FALSE),"ID no encontrado"))</f>
        <v/>
      </c>
    </row>
    <row r="302">
      <c r="C302" s="2">
        <f>IF($B302="","",IFERROR(VLOOKUP($B302,'Catálogo_SI'!$A:$B,2,FALSE),"ID no encontrado"))</f>
        <v/>
      </c>
    </row>
    <row r="303">
      <c r="C303" s="2">
        <f>IF($B303="","",IFERROR(VLOOKUP($B303,'Catálogo_SI'!$A:$B,2,FALSE),"ID no encontrado"))</f>
        <v/>
      </c>
    </row>
    <row r="304">
      <c r="C304" s="2">
        <f>IF($B304="","",IFERROR(VLOOKUP($B304,'Catálogo_SI'!$A:$B,2,FALSE),"ID no encontrado"))</f>
        <v/>
      </c>
    </row>
    <row r="305">
      <c r="C305" s="2">
        <f>IF($B305="","",IFERROR(VLOOKUP($B305,'Catálogo_SI'!$A:$B,2,FALSE),"ID no encontrado"))</f>
        <v/>
      </c>
    </row>
    <row r="306">
      <c r="C306" s="2">
        <f>IF($B306="","",IFERROR(VLOOKUP($B306,'Catálogo_SI'!$A:$B,2,FALSE),"ID no encontrado"))</f>
        <v/>
      </c>
    </row>
    <row r="307">
      <c r="C307" s="2">
        <f>IF($B307="","",IFERROR(VLOOKUP($B307,'Catálogo_SI'!$A:$B,2,FALSE),"ID no encontrado"))</f>
        <v/>
      </c>
    </row>
    <row r="308">
      <c r="C308" s="2">
        <f>IF($B308="","",IFERROR(VLOOKUP($B308,'Catálogo_SI'!$A:$B,2,FALSE),"ID no encontrado"))</f>
        <v/>
      </c>
    </row>
    <row r="309">
      <c r="C309" s="2">
        <f>IF($B309="","",IFERROR(VLOOKUP($B309,'Catálogo_SI'!$A:$B,2,FALSE),"ID no encontrado"))</f>
        <v/>
      </c>
    </row>
    <row r="310">
      <c r="C310" s="2">
        <f>IF($B310="","",IFERROR(VLOOKUP($B310,'Catálogo_SI'!$A:$B,2,FALSE),"ID no encontrado"))</f>
        <v/>
      </c>
    </row>
    <row r="311">
      <c r="C311" s="2">
        <f>IF($B311="","",IFERROR(VLOOKUP($B311,'Catálogo_SI'!$A:$B,2,FALSE),"ID no encontrado"))</f>
        <v/>
      </c>
    </row>
    <row r="312">
      <c r="C312" s="2">
        <f>IF($B312="","",IFERROR(VLOOKUP($B312,'Catálogo_SI'!$A:$B,2,FALSE),"ID no encontrado"))</f>
        <v/>
      </c>
    </row>
    <row r="313">
      <c r="C313" s="2">
        <f>IF($B313="","",IFERROR(VLOOKUP($B313,'Catálogo_SI'!$A:$B,2,FALSE),"ID no encontrado"))</f>
        <v/>
      </c>
    </row>
    <row r="314">
      <c r="C314" s="2">
        <f>IF($B314="","",IFERROR(VLOOKUP($B314,'Catálogo_SI'!$A:$B,2,FALSE),"ID no encontrado"))</f>
        <v/>
      </c>
    </row>
    <row r="315">
      <c r="C315" s="2">
        <f>IF($B315="","",IFERROR(VLOOKUP($B315,'Catálogo_SI'!$A:$B,2,FALSE),"ID no encontrado"))</f>
        <v/>
      </c>
    </row>
    <row r="316">
      <c r="C316" s="2">
        <f>IF($B316="","",IFERROR(VLOOKUP($B316,'Catálogo_SI'!$A:$B,2,FALSE),"ID no encontrado"))</f>
        <v/>
      </c>
    </row>
    <row r="317">
      <c r="C317" s="2">
        <f>IF($B317="","",IFERROR(VLOOKUP($B317,'Catálogo_SI'!$A:$B,2,FALSE),"ID no encontrado"))</f>
        <v/>
      </c>
    </row>
    <row r="318">
      <c r="C318" s="2">
        <f>IF($B318="","",IFERROR(VLOOKUP($B318,'Catálogo_SI'!$A:$B,2,FALSE),"ID no encontrado"))</f>
        <v/>
      </c>
    </row>
    <row r="319">
      <c r="C319" s="2">
        <f>IF($B319="","",IFERROR(VLOOKUP($B319,'Catálogo_SI'!$A:$B,2,FALSE),"ID no encontrado"))</f>
        <v/>
      </c>
    </row>
    <row r="320">
      <c r="C320" s="2">
        <f>IF($B320="","",IFERROR(VLOOKUP($B320,'Catálogo_SI'!$A:$B,2,FALSE),"ID no encontrado"))</f>
        <v/>
      </c>
    </row>
    <row r="321">
      <c r="C321" s="2">
        <f>IF($B321="","",IFERROR(VLOOKUP($B321,'Catálogo_SI'!$A:$B,2,FALSE),"ID no encontrado"))</f>
        <v/>
      </c>
    </row>
    <row r="322">
      <c r="C322" s="2">
        <f>IF($B322="","",IFERROR(VLOOKUP($B322,'Catálogo_SI'!$A:$B,2,FALSE),"ID no encontrado"))</f>
        <v/>
      </c>
    </row>
    <row r="323">
      <c r="C323" s="2">
        <f>IF($B323="","",IFERROR(VLOOKUP($B323,'Catálogo_SI'!$A:$B,2,FALSE),"ID no encontrado"))</f>
        <v/>
      </c>
    </row>
    <row r="324">
      <c r="C324" s="2">
        <f>IF($B324="","",IFERROR(VLOOKUP($B324,'Catálogo_SI'!$A:$B,2,FALSE),"ID no encontrado"))</f>
        <v/>
      </c>
    </row>
    <row r="325">
      <c r="C325" s="2">
        <f>IF($B325="","",IFERROR(VLOOKUP($B325,'Catálogo_SI'!$A:$B,2,FALSE),"ID no encontrado"))</f>
        <v/>
      </c>
    </row>
    <row r="326">
      <c r="C326" s="2">
        <f>IF($B326="","",IFERROR(VLOOKUP($B326,'Catálogo_SI'!$A:$B,2,FALSE),"ID no encontrado"))</f>
        <v/>
      </c>
    </row>
    <row r="327">
      <c r="C327" s="2">
        <f>IF($B327="","",IFERROR(VLOOKUP($B327,'Catálogo_SI'!$A:$B,2,FALSE),"ID no encontrado"))</f>
        <v/>
      </c>
    </row>
    <row r="328">
      <c r="C328" s="2">
        <f>IF($B328="","",IFERROR(VLOOKUP($B328,'Catálogo_SI'!$A:$B,2,FALSE),"ID no encontrado"))</f>
        <v/>
      </c>
    </row>
    <row r="329">
      <c r="C329" s="2">
        <f>IF($B329="","",IFERROR(VLOOKUP($B329,'Catálogo_SI'!$A:$B,2,FALSE),"ID no encontrado"))</f>
        <v/>
      </c>
    </row>
    <row r="330">
      <c r="C330" s="2">
        <f>IF($B330="","",IFERROR(VLOOKUP($B330,'Catálogo_SI'!$A:$B,2,FALSE),"ID no encontrado"))</f>
        <v/>
      </c>
    </row>
    <row r="331">
      <c r="C331" s="2">
        <f>IF($B331="","",IFERROR(VLOOKUP($B331,'Catálogo_SI'!$A:$B,2,FALSE),"ID no encontrado"))</f>
        <v/>
      </c>
    </row>
    <row r="332">
      <c r="C332" s="2">
        <f>IF($B332="","",IFERROR(VLOOKUP($B332,'Catálogo_SI'!$A:$B,2,FALSE),"ID no encontrado"))</f>
        <v/>
      </c>
    </row>
    <row r="333">
      <c r="C333" s="2">
        <f>IF($B333="","",IFERROR(VLOOKUP($B333,'Catálogo_SI'!$A:$B,2,FALSE),"ID no encontrado"))</f>
        <v/>
      </c>
    </row>
    <row r="334">
      <c r="C334" s="2">
        <f>IF($B334="","",IFERROR(VLOOKUP($B334,'Catálogo_SI'!$A:$B,2,FALSE),"ID no encontrado"))</f>
        <v/>
      </c>
    </row>
    <row r="335">
      <c r="C335" s="2">
        <f>IF($B335="","",IFERROR(VLOOKUP($B335,'Catálogo_SI'!$A:$B,2,FALSE),"ID no encontrado"))</f>
        <v/>
      </c>
    </row>
    <row r="336">
      <c r="C336" s="2">
        <f>IF($B336="","",IFERROR(VLOOKUP($B336,'Catálogo_SI'!$A:$B,2,FALSE),"ID no encontrado"))</f>
        <v/>
      </c>
    </row>
    <row r="337">
      <c r="C337" s="2">
        <f>IF($B337="","",IFERROR(VLOOKUP($B337,'Catálogo_SI'!$A:$B,2,FALSE),"ID no encontrado"))</f>
        <v/>
      </c>
    </row>
    <row r="338">
      <c r="C338" s="2">
        <f>IF($B338="","",IFERROR(VLOOKUP($B338,'Catálogo_SI'!$A:$B,2,FALSE),"ID no encontrado"))</f>
        <v/>
      </c>
    </row>
    <row r="339">
      <c r="C339" s="2">
        <f>IF($B339="","",IFERROR(VLOOKUP($B339,'Catálogo_SI'!$A:$B,2,FALSE),"ID no encontrado"))</f>
        <v/>
      </c>
    </row>
    <row r="340">
      <c r="C340" s="2">
        <f>IF($B340="","",IFERROR(VLOOKUP($B340,'Catálogo_SI'!$A:$B,2,FALSE),"ID no encontrado"))</f>
        <v/>
      </c>
    </row>
    <row r="341">
      <c r="C341" s="2">
        <f>IF($B341="","",IFERROR(VLOOKUP($B341,'Catálogo_SI'!$A:$B,2,FALSE),"ID no encontrado"))</f>
        <v/>
      </c>
    </row>
    <row r="342">
      <c r="C342" s="2">
        <f>IF($B342="","",IFERROR(VLOOKUP($B342,'Catálogo_SI'!$A:$B,2,FALSE),"ID no encontrado"))</f>
        <v/>
      </c>
    </row>
    <row r="343">
      <c r="C343" s="2">
        <f>IF($B343="","",IFERROR(VLOOKUP($B343,'Catálogo_SI'!$A:$B,2,FALSE),"ID no encontrado"))</f>
        <v/>
      </c>
    </row>
    <row r="344">
      <c r="C344" s="2">
        <f>IF($B344="","",IFERROR(VLOOKUP($B344,'Catálogo_SI'!$A:$B,2,FALSE),"ID no encontrado"))</f>
        <v/>
      </c>
    </row>
    <row r="345">
      <c r="C345" s="2">
        <f>IF($B345="","",IFERROR(VLOOKUP($B345,'Catálogo_SI'!$A:$B,2,FALSE),"ID no encontrado"))</f>
        <v/>
      </c>
    </row>
    <row r="346">
      <c r="C346" s="2">
        <f>IF($B346="","",IFERROR(VLOOKUP($B346,'Catálogo_SI'!$A:$B,2,FALSE),"ID no encontrado"))</f>
        <v/>
      </c>
    </row>
    <row r="347">
      <c r="C347" s="2">
        <f>IF($B347="","",IFERROR(VLOOKUP($B347,'Catálogo_SI'!$A:$B,2,FALSE),"ID no encontrado"))</f>
        <v/>
      </c>
    </row>
    <row r="348">
      <c r="C348" s="2">
        <f>IF($B348="","",IFERROR(VLOOKUP($B348,'Catálogo_SI'!$A:$B,2,FALSE),"ID no encontrado"))</f>
        <v/>
      </c>
    </row>
    <row r="349">
      <c r="C349" s="2">
        <f>IF($B349="","",IFERROR(VLOOKUP($B349,'Catálogo_SI'!$A:$B,2,FALSE),"ID no encontrado"))</f>
        <v/>
      </c>
    </row>
    <row r="350">
      <c r="C350" s="2">
        <f>IF($B350="","",IFERROR(VLOOKUP($B350,'Catálogo_SI'!$A:$B,2,FALSE),"ID no encontrado"))</f>
        <v/>
      </c>
    </row>
    <row r="351">
      <c r="C351" s="2">
        <f>IF($B351="","",IFERROR(VLOOKUP($B351,'Catálogo_SI'!$A:$B,2,FALSE),"ID no encontrado"))</f>
        <v/>
      </c>
    </row>
    <row r="352">
      <c r="C352" s="2">
        <f>IF($B352="","",IFERROR(VLOOKUP($B352,'Catálogo_SI'!$A:$B,2,FALSE),"ID no encontrado"))</f>
        <v/>
      </c>
    </row>
    <row r="353">
      <c r="C353" s="2">
        <f>IF($B353="","",IFERROR(VLOOKUP($B353,'Catálogo_SI'!$A:$B,2,FALSE),"ID no encontrado"))</f>
        <v/>
      </c>
    </row>
    <row r="354">
      <c r="C354" s="2">
        <f>IF($B354="","",IFERROR(VLOOKUP($B354,'Catálogo_SI'!$A:$B,2,FALSE),"ID no encontrado"))</f>
        <v/>
      </c>
    </row>
    <row r="355">
      <c r="C355" s="2">
        <f>IF($B355="","",IFERROR(VLOOKUP($B355,'Catálogo_SI'!$A:$B,2,FALSE),"ID no encontrado"))</f>
        <v/>
      </c>
    </row>
    <row r="356">
      <c r="C356" s="2">
        <f>IF($B356="","",IFERROR(VLOOKUP($B356,'Catálogo_SI'!$A:$B,2,FALSE),"ID no encontrado"))</f>
        <v/>
      </c>
    </row>
    <row r="357">
      <c r="C357" s="2">
        <f>IF($B357="","",IFERROR(VLOOKUP($B357,'Catálogo_SI'!$A:$B,2,FALSE),"ID no encontrado"))</f>
        <v/>
      </c>
    </row>
    <row r="358">
      <c r="C358" s="2">
        <f>IF($B358="","",IFERROR(VLOOKUP($B358,'Catálogo_SI'!$A:$B,2,FALSE),"ID no encontrado"))</f>
        <v/>
      </c>
    </row>
    <row r="359">
      <c r="C359" s="2">
        <f>IF($B359="","",IFERROR(VLOOKUP($B359,'Catálogo_SI'!$A:$B,2,FALSE),"ID no encontrado"))</f>
        <v/>
      </c>
    </row>
    <row r="360">
      <c r="C360" s="2">
        <f>IF($B360="","",IFERROR(VLOOKUP($B360,'Catálogo_SI'!$A:$B,2,FALSE),"ID no encontrado"))</f>
        <v/>
      </c>
    </row>
    <row r="361">
      <c r="C361" s="2">
        <f>IF($B361="","",IFERROR(VLOOKUP($B361,'Catálogo_SI'!$A:$B,2,FALSE),"ID no encontrado"))</f>
        <v/>
      </c>
    </row>
    <row r="362">
      <c r="C362" s="2">
        <f>IF($B362="","",IFERROR(VLOOKUP($B362,'Catálogo_SI'!$A:$B,2,FALSE),"ID no encontrado"))</f>
        <v/>
      </c>
    </row>
    <row r="363">
      <c r="C363" s="2">
        <f>IF($B363="","",IFERROR(VLOOKUP($B363,'Catálogo_SI'!$A:$B,2,FALSE),"ID no encontrado"))</f>
        <v/>
      </c>
    </row>
    <row r="364">
      <c r="C364" s="2">
        <f>IF($B364="","",IFERROR(VLOOKUP($B364,'Catálogo_SI'!$A:$B,2,FALSE),"ID no encontrado"))</f>
        <v/>
      </c>
    </row>
    <row r="365">
      <c r="C365" s="2">
        <f>IF($B365="","",IFERROR(VLOOKUP($B365,'Catálogo_SI'!$A:$B,2,FALSE),"ID no encontrado"))</f>
        <v/>
      </c>
    </row>
    <row r="366">
      <c r="C366" s="2">
        <f>IF($B366="","",IFERROR(VLOOKUP($B366,'Catálogo_SI'!$A:$B,2,FALSE),"ID no encontrado"))</f>
        <v/>
      </c>
    </row>
    <row r="367">
      <c r="C367" s="2">
        <f>IF($B367="","",IFERROR(VLOOKUP($B367,'Catálogo_SI'!$A:$B,2,FALSE),"ID no encontrado"))</f>
        <v/>
      </c>
    </row>
    <row r="368">
      <c r="C368" s="2">
        <f>IF($B368="","",IFERROR(VLOOKUP($B368,'Catálogo_SI'!$A:$B,2,FALSE),"ID no encontrado"))</f>
        <v/>
      </c>
    </row>
    <row r="369">
      <c r="C369" s="2">
        <f>IF($B369="","",IFERROR(VLOOKUP($B369,'Catálogo_SI'!$A:$B,2,FALSE),"ID no encontrado"))</f>
        <v/>
      </c>
    </row>
    <row r="370">
      <c r="C370" s="2">
        <f>IF($B370="","",IFERROR(VLOOKUP($B370,'Catálogo_SI'!$A:$B,2,FALSE),"ID no encontrado"))</f>
        <v/>
      </c>
    </row>
    <row r="371">
      <c r="C371" s="2">
        <f>IF($B371="","",IFERROR(VLOOKUP($B371,'Catálogo_SI'!$A:$B,2,FALSE),"ID no encontrado"))</f>
        <v/>
      </c>
    </row>
    <row r="372">
      <c r="C372" s="2">
        <f>IF($B372="","",IFERROR(VLOOKUP($B372,'Catálogo_SI'!$A:$B,2,FALSE),"ID no encontrado"))</f>
        <v/>
      </c>
    </row>
    <row r="373">
      <c r="C373" s="2">
        <f>IF($B373="","",IFERROR(VLOOKUP($B373,'Catálogo_SI'!$A:$B,2,FALSE),"ID no encontrado"))</f>
        <v/>
      </c>
    </row>
    <row r="374">
      <c r="C374" s="2">
        <f>IF($B374="","",IFERROR(VLOOKUP($B374,'Catálogo_SI'!$A:$B,2,FALSE),"ID no encontrado"))</f>
        <v/>
      </c>
    </row>
    <row r="375">
      <c r="C375" s="2">
        <f>IF($B375="","",IFERROR(VLOOKUP($B375,'Catálogo_SI'!$A:$B,2,FALSE),"ID no encontrado"))</f>
        <v/>
      </c>
    </row>
    <row r="376">
      <c r="C376" s="2">
        <f>IF($B376="","",IFERROR(VLOOKUP($B376,'Catálogo_SI'!$A:$B,2,FALSE),"ID no encontrado"))</f>
        <v/>
      </c>
    </row>
    <row r="377">
      <c r="C377" s="2">
        <f>IF($B377="","",IFERROR(VLOOKUP($B377,'Catálogo_SI'!$A:$B,2,FALSE),"ID no encontrado"))</f>
        <v/>
      </c>
    </row>
    <row r="378">
      <c r="C378" s="2">
        <f>IF($B378="","",IFERROR(VLOOKUP($B378,'Catálogo_SI'!$A:$B,2,FALSE),"ID no encontrado"))</f>
        <v/>
      </c>
    </row>
    <row r="379">
      <c r="C379" s="2">
        <f>IF($B379="","",IFERROR(VLOOKUP($B379,'Catálogo_SI'!$A:$B,2,FALSE),"ID no encontrado"))</f>
        <v/>
      </c>
    </row>
    <row r="380">
      <c r="C380" s="2">
        <f>IF($B380="","",IFERROR(VLOOKUP($B380,'Catálogo_SI'!$A:$B,2,FALSE),"ID no encontrado"))</f>
        <v/>
      </c>
    </row>
    <row r="381">
      <c r="C381" s="2">
        <f>IF($B381="","",IFERROR(VLOOKUP($B381,'Catálogo_SI'!$A:$B,2,FALSE),"ID no encontrado"))</f>
        <v/>
      </c>
    </row>
    <row r="382">
      <c r="C382" s="2">
        <f>IF($B382="","",IFERROR(VLOOKUP($B382,'Catálogo_SI'!$A:$B,2,FALSE),"ID no encontrado"))</f>
        <v/>
      </c>
    </row>
    <row r="383">
      <c r="C383" s="2">
        <f>IF($B383="","",IFERROR(VLOOKUP($B383,'Catálogo_SI'!$A:$B,2,FALSE),"ID no encontrado"))</f>
        <v/>
      </c>
    </row>
    <row r="384">
      <c r="C384" s="2">
        <f>IF($B384="","",IFERROR(VLOOKUP($B384,'Catálogo_SI'!$A:$B,2,FALSE),"ID no encontrado"))</f>
        <v/>
      </c>
    </row>
    <row r="385">
      <c r="C385" s="2">
        <f>IF($B385="","",IFERROR(VLOOKUP($B385,'Catálogo_SI'!$A:$B,2,FALSE),"ID no encontrado"))</f>
        <v/>
      </c>
    </row>
    <row r="386">
      <c r="C386" s="2">
        <f>IF($B386="","",IFERROR(VLOOKUP($B386,'Catálogo_SI'!$A:$B,2,FALSE),"ID no encontrado"))</f>
        <v/>
      </c>
    </row>
    <row r="387">
      <c r="C387" s="2">
        <f>IF($B387="","",IFERROR(VLOOKUP($B387,'Catálogo_SI'!$A:$B,2,FALSE),"ID no encontrado"))</f>
        <v/>
      </c>
    </row>
    <row r="388">
      <c r="C388" s="2">
        <f>IF($B388="","",IFERROR(VLOOKUP($B388,'Catálogo_SI'!$A:$B,2,FALSE),"ID no encontrado"))</f>
        <v/>
      </c>
    </row>
    <row r="389">
      <c r="C389" s="2">
        <f>IF($B389="","",IFERROR(VLOOKUP($B389,'Catálogo_SI'!$A:$B,2,FALSE),"ID no encontrado"))</f>
        <v/>
      </c>
    </row>
    <row r="390">
      <c r="C390" s="2">
        <f>IF($B390="","",IFERROR(VLOOKUP($B390,'Catálogo_SI'!$A:$B,2,FALSE),"ID no encontrado"))</f>
        <v/>
      </c>
    </row>
    <row r="391">
      <c r="C391" s="2">
        <f>IF($B391="","",IFERROR(VLOOKUP($B391,'Catálogo_SI'!$A:$B,2,FALSE),"ID no encontrado"))</f>
        <v/>
      </c>
    </row>
    <row r="392">
      <c r="C392" s="2">
        <f>IF($B392="","",IFERROR(VLOOKUP($B392,'Catálogo_SI'!$A:$B,2,FALSE),"ID no encontrado"))</f>
        <v/>
      </c>
    </row>
    <row r="393">
      <c r="C393" s="2">
        <f>IF($B393="","",IFERROR(VLOOKUP($B393,'Catálogo_SI'!$A:$B,2,FALSE),"ID no encontrado"))</f>
        <v/>
      </c>
    </row>
    <row r="394">
      <c r="C394" s="2">
        <f>IF($B394="","",IFERROR(VLOOKUP($B394,'Catálogo_SI'!$A:$B,2,FALSE),"ID no encontrado"))</f>
        <v/>
      </c>
    </row>
    <row r="395">
      <c r="C395" s="2">
        <f>IF($B395="","",IFERROR(VLOOKUP($B395,'Catálogo_SI'!$A:$B,2,FALSE),"ID no encontrado"))</f>
        <v/>
      </c>
    </row>
    <row r="396">
      <c r="C396" s="2">
        <f>IF($B396="","",IFERROR(VLOOKUP($B396,'Catálogo_SI'!$A:$B,2,FALSE),"ID no encontrado"))</f>
        <v/>
      </c>
    </row>
    <row r="397">
      <c r="C397" s="2">
        <f>IF($B397="","",IFERROR(VLOOKUP($B397,'Catálogo_SI'!$A:$B,2,FALSE),"ID no encontrado"))</f>
        <v/>
      </c>
    </row>
    <row r="398">
      <c r="C398" s="2">
        <f>IF($B398="","",IFERROR(VLOOKUP($B398,'Catálogo_SI'!$A:$B,2,FALSE),"ID no encontrado"))</f>
        <v/>
      </c>
    </row>
    <row r="399">
      <c r="C399" s="2">
        <f>IF($B399="","",IFERROR(VLOOKUP($B399,'Catálogo_SI'!$A:$B,2,FALSE),"ID no encontrado"))</f>
        <v/>
      </c>
    </row>
    <row r="400">
      <c r="C400" s="2">
        <f>IF($B400="","",IFERROR(VLOOKUP($B400,'Catálogo_SI'!$A:$B,2,FALSE),"ID no encontrado"))</f>
        <v/>
      </c>
    </row>
    <row r="401">
      <c r="C401" s="2">
        <f>IF($B401="","",IFERROR(VLOOKUP($B401,'Catálogo_SI'!$A:$B,2,FALSE),"ID no encontrado"))</f>
        <v/>
      </c>
    </row>
    <row r="402">
      <c r="C402" s="2">
        <f>IF($B402="","",IFERROR(VLOOKUP($B402,'Catálogo_SI'!$A:$B,2,FALSE),"ID no encontrado"))</f>
        <v/>
      </c>
    </row>
    <row r="403">
      <c r="C403" s="2">
        <f>IF($B403="","",IFERROR(VLOOKUP($B403,'Catálogo_SI'!$A:$B,2,FALSE),"ID no encontrado"))</f>
        <v/>
      </c>
    </row>
    <row r="404">
      <c r="C404" s="2">
        <f>IF($B404="","",IFERROR(VLOOKUP($B404,'Catálogo_SI'!$A:$B,2,FALSE),"ID no encontrado"))</f>
        <v/>
      </c>
    </row>
    <row r="405">
      <c r="C405" s="2">
        <f>IF($B405="","",IFERROR(VLOOKUP($B405,'Catálogo_SI'!$A:$B,2,FALSE),"ID no encontrado"))</f>
        <v/>
      </c>
    </row>
    <row r="406">
      <c r="C406" s="2">
        <f>IF($B406="","",IFERROR(VLOOKUP($B406,'Catálogo_SI'!$A:$B,2,FALSE),"ID no encontrado"))</f>
        <v/>
      </c>
    </row>
    <row r="407">
      <c r="C407" s="2">
        <f>IF($B407="","",IFERROR(VLOOKUP($B407,'Catálogo_SI'!$A:$B,2,FALSE),"ID no encontrado"))</f>
        <v/>
      </c>
    </row>
    <row r="408">
      <c r="C408" s="2">
        <f>IF($B408="","",IFERROR(VLOOKUP($B408,'Catálogo_SI'!$A:$B,2,FALSE),"ID no encontrado"))</f>
        <v/>
      </c>
    </row>
    <row r="409">
      <c r="C409" s="2">
        <f>IF($B409="","",IFERROR(VLOOKUP($B409,'Catálogo_SI'!$A:$B,2,FALSE),"ID no encontrado"))</f>
        <v/>
      </c>
    </row>
    <row r="410">
      <c r="C410" s="2">
        <f>IF($B410="","",IFERROR(VLOOKUP($B410,'Catálogo_SI'!$A:$B,2,FALSE),"ID no encontrado"))</f>
        <v/>
      </c>
    </row>
    <row r="411">
      <c r="C411" s="2">
        <f>IF($B411="","",IFERROR(VLOOKUP($B411,'Catálogo_SI'!$A:$B,2,FALSE),"ID no encontrado"))</f>
        <v/>
      </c>
    </row>
    <row r="412">
      <c r="C412" s="2">
        <f>IF($B412="","",IFERROR(VLOOKUP($B412,'Catálogo_SI'!$A:$B,2,FALSE),"ID no encontrado"))</f>
        <v/>
      </c>
    </row>
    <row r="413">
      <c r="C413" s="2">
        <f>IF($B413="","",IFERROR(VLOOKUP($B413,'Catálogo_SI'!$A:$B,2,FALSE),"ID no encontrado"))</f>
        <v/>
      </c>
    </row>
    <row r="414">
      <c r="C414" s="2">
        <f>IF($B414="","",IFERROR(VLOOKUP($B414,'Catálogo_SI'!$A:$B,2,FALSE),"ID no encontrado"))</f>
        <v/>
      </c>
    </row>
    <row r="415">
      <c r="C415" s="2">
        <f>IF($B415="","",IFERROR(VLOOKUP($B415,'Catálogo_SI'!$A:$B,2,FALSE),"ID no encontrado"))</f>
        <v/>
      </c>
    </row>
    <row r="416">
      <c r="C416" s="2">
        <f>IF($B416="","",IFERROR(VLOOKUP($B416,'Catálogo_SI'!$A:$B,2,FALSE),"ID no encontrado"))</f>
        <v/>
      </c>
    </row>
    <row r="417">
      <c r="C417" s="2">
        <f>IF($B417="","",IFERROR(VLOOKUP($B417,'Catálogo_SI'!$A:$B,2,FALSE),"ID no encontrado"))</f>
        <v/>
      </c>
    </row>
    <row r="418">
      <c r="C418" s="2">
        <f>IF($B418="","",IFERROR(VLOOKUP($B418,'Catálogo_SI'!$A:$B,2,FALSE),"ID no encontrado"))</f>
        <v/>
      </c>
    </row>
    <row r="419">
      <c r="C419" s="2">
        <f>IF($B419="","",IFERROR(VLOOKUP($B419,'Catálogo_SI'!$A:$B,2,FALSE),"ID no encontrado"))</f>
        <v/>
      </c>
    </row>
    <row r="420">
      <c r="C420" s="2">
        <f>IF($B420="","",IFERROR(VLOOKUP($B420,'Catálogo_SI'!$A:$B,2,FALSE),"ID no encontrado"))</f>
        <v/>
      </c>
    </row>
    <row r="421">
      <c r="C421" s="2">
        <f>IF($B421="","",IFERROR(VLOOKUP($B421,'Catálogo_SI'!$A:$B,2,FALSE),"ID no encontrado"))</f>
        <v/>
      </c>
    </row>
    <row r="422">
      <c r="C422" s="2">
        <f>IF($B422="","",IFERROR(VLOOKUP($B422,'Catálogo_SI'!$A:$B,2,FALSE),"ID no encontrado"))</f>
        <v/>
      </c>
    </row>
    <row r="423">
      <c r="C423" s="2">
        <f>IF($B423="","",IFERROR(VLOOKUP($B423,'Catálogo_SI'!$A:$B,2,FALSE),"ID no encontrado"))</f>
        <v/>
      </c>
    </row>
    <row r="424">
      <c r="C424" s="2">
        <f>IF($B424="","",IFERROR(VLOOKUP($B424,'Catálogo_SI'!$A:$B,2,FALSE),"ID no encontrado"))</f>
        <v/>
      </c>
    </row>
    <row r="425">
      <c r="C425" s="2">
        <f>IF($B425="","",IFERROR(VLOOKUP($B425,'Catálogo_SI'!$A:$B,2,FALSE),"ID no encontrado"))</f>
        <v/>
      </c>
    </row>
    <row r="426">
      <c r="C426" s="2">
        <f>IF($B426="","",IFERROR(VLOOKUP($B426,'Catálogo_SI'!$A:$B,2,FALSE),"ID no encontrado"))</f>
        <v/>
      </c>
    </row>
    <row r="427">
      <c r="C427" s="2">
        <f>IF($B427="","",IFERROR(VLOOKUP($B427,'Catálogo_SI'!$A:$B,2,FALSE),"ID no encontrado"))</f>
        <v/>
      </c>
    </row>
    <row r="428">
      <c r="C428" s="2">
        <f>IF($B428="","",IFERROR(VLOOKUP($B428,'Catálogo_SI'!$A:$B,2,FALSE),"ID no encontrado"))</f>
        <v/>
      </c>
    </row>
    <row r="429">
      <c r="C429" s="2">
        <f>IF($B429="","",IFERROR(VLOOKUP($B429,'Catálogo_SI'!$A:$B,2,FALSE),"ID no encontrado"))</f>
        <v/>
      </c>
    </row>
    <row r="430">
      <c r="C430" s="2">
        <f>IF($B430="","",IFERROR(VLOOKUP($B430,'Catálogo_SI'!$A:$B,2,FALSE),"ID no encontrado"))</f>
        <v/>
      </c>
    </row>
    <row r="431">
      <c r="C431" s="2">
        <f>IF($B431="","",IFERROR(VLOOKUP($B431,'Catálogo_SI'!$A:$B,2,FALSE),"ID no encontrado"))</f>
        <v/>
      </c>
    </row>
    <row r="432">
      <c r="C432" s="2">
        <f>IF($B432="","",IFERROR(VLOOKUP($B432,'Catálogo_SI'!$A:$B,2,FALSE),"ID no encontrado"))</f>
        <v/>
      </c>
    </row>
    <row r="433">
      <c r="C433" s="2">
        <f>IF($B433="","",IFERROR(VLOOKUP($B433,'Catálogo_SI'!$A:$B,2,FALSE),"ID no encontrado"))</f>
        <v/>
      </c>
    </row>
    <row r="434">
      <c r="C434" s="2">
        <f>IF($B434="","",IFERROR(VLOOKUP($B434,'Catálogo_SI'!$A:$B,2,FALSE),"ID no encontrado"))</f>
        <v/>
      </c>
    </row>
    <row r="435">
      <c r="C435" s="2">
        <f>IF($B435="","",IFERROR(VLOOKUP($B435,'Catálogo_SI'!$A:$B,2,FALSE),"ID no encontrado"))</f>
        <v/>
      </c>
    </row>
    <row r="436">
      <c r="C436" s="2">
        <f>IF($B436="","",IFERROR(VLOOKUP($B436,'Catálogo_SI'!$A:$B,2,FALSE),"ID no encontrado"))</f>
        <v/>
      </c>
    </row>
    <row r="437">
      <c r="C437" s="2">
        <f>IF($B437="","",IFERROR(VLOOKUP($B437,'Catálogo_SI'!$A:$B,2,FALSE),"ID no encontrado"))</f>
        <v/>
      </c>
    </row>
    <row r="438">
      <c r="C438" s="2">
        <f>IF($B438="","",IFERROR(VLOOKUP($B438,'Catálogo_SI'!$A:$B,2,FALSE),"ID no encontrado"))</f>
        <v/>
      </c>
    </row>
    <row r="439">
      <c r="C439" s="2">
        <f>IF($B439="","",IFERROR(VLOOKUP($B439,'Catálogo_SI'!$A:$B,2,FALSE),"ID no encontrado"))</f>
        <v/>
      </c>
    </row>
    <row r="440">
      <c r="C440" s="2">
        <f>IF($B440="","",IFERROR(VLOOKUP($B440,'Catálogo_SI'!$A:$B,2,FALSE),"ID no encontrado"))</f>
        <v/>
      </c>
    </row>
    <row r="441">
      <c r="C441" s="2">
        <f>IF($B441="","",IFERROR(VLOOKUP($B441,'Catálogo_SI'!$A:$B,2,FALSE),"ID no encontrado"))</f>
        <v/>
      </c>
    </row>
    <row r="442">
      <c r="C442" s="2">
        <f>IF($B442="","",IFERROR(VLOOKUP($B442,'Catálogo_SI'!$A:$B,2,FALSE),"ID no encontrado"))</f>
        <v/>
      </c>
    </row>
    <row r="443">
      <c r="C443" s="2">
        <f>IF($B443="","",IFERROR(VLOOKUP($B443,'Catálogo_SI'!$A:$B,2,FALSE),"ID no encontrado"))</f>
        <v/>
      </c>
    </row>
    <row r="444">
      <c r="C444" s="2">
        <f>IF($B444="","",IFERROR(VLOOKUP($B444,'Catálogo_SI'!$A:$B,2,FALSE),"ID no encontrado"))</f>
        <v/>
      </c>
    </row>
    <row r="445">
      <c r="C445" s="2">
        <f>IF($B445="","",IFERROR(VLOOKUP($B445,'Catálogo_SI'!$A:$B,2,FALSE),"ID no encontrado"))</f>
        <v/>
      </c>
    </row>
    <row r="446">
      <c r="C446" s="2">
        <f>IF($B446="","",IFERROR(VLOOKUP($B446,'Catálogo_SI'!$A:$B,2,FALSE),"ID no encontrado"))</f>
        <v/>
      </c>
    </row>
    <row r="447">
      <c r="C447" s="2">
        <f>IF($B447="","",IFERROR(VLOOKUP($B447,'Catálogo_SI'!$A:$B,2,FALSE),"ID no encontrado"))</f>
        <v/>
      </c>
    </row>
    <row r="448">
      <c r="C448" s="2">
        <f>IF($B448="","",IFERROR(VLOOKUP($B448,'Catálogo_SI'!$A:$B,2,FALSE),"ID no encontrado"))</f>
        <v/>
      </c>
    </row>
    <row r="449">
      <c r="C449" s="2">
        <f>IF($B449="","",IFERROR(VLOOKUP($B449,'Catálogo_SI'!$A:$B,2,FALSE),"ID no encontrado"))</f>
        <v/>
      </c>
    </row>
    <row r="450">
      <c r="C450" s="2">
        <f>IF($B450="","",IFERROR(VLOOKUP($B450,'Catálogo_SI'!$A:$B,2,FALSE),"ID no encontrado"))</f>
        <v/>
      </c>
    </row>
    <row r="451">
      <c r="C451" s="2">
        <f>IF($B451="","",IFERROR(VLOOKUP($B451,'Catálogo_SI'!$A:$B,2,FALSE),"ID no encontrado"))</f>
        <v/>
      </c>
    </row>
    <row r="452">
      <c r="C452" s="2">
        <f>IF($B452="","",IFERROR(VLOOKUP($B452,'Catálogo_SI'!$A:$B,2,FALSE),"ID no encontrado"))</f>
        <v/>
      </c>
    </row>
    <row r="453">
      <c r="C453" s="2">
        <f>IF($B453="","",IFERROR(VLOOKUP($B453,'Catálogo_SI'!$A:$B,2,FALSE),"ID no encontrado"))</f>
        <v/>
      </c>
    </row>
    <row r="454">
      <c r="C454" s="2">
        <f>IF($B454="","",IFERROR(VLOOKUP($B454,'Catálogo_SI'!$A:$B,2,FALSE),"ID no encontrado"))</f>
        <v/>
      </c>
    </row>
    <row r="455">
      <c r="C455" s="2">
        <f>IF($B455="","",IFERROR(VLOOKUP($B455,'Catálogo_SI'!$A:$B,2,FALSE),"ID no encontrado"))</f>
        <v/>
      </c>
    </row>
    <row r="456">
      <c r="C456" s="2">
        <f>IF($B456="","",IFERROR(VLOOKUP($B456,'Catálogo_SI'!$A:$B,2,FALSE),"ID no encontrado"))</f>
        <v/>
      </c>
    </row>
    <row r="457">
      <c r="C457" s="2">
        <f>IF($B457="","",IFERROR(VLOOKUP($B457,'Catálogo_SI'!$A:$B,2,FALSE),"ID no encontrado"))</f>
        <v/>
      </c>
    </row>
    <row r="458">
      <c r="C458" s="2">
        <f>IF($B458="","",IFERROR(VLOOKUP($B458,'Catálogo_SI'!$A:$B,2,FALSE),"ID no encontrado"))</f>
        <v/>
      </c>
    </row>
    <row r="459">
      <c r="C459" s="2">
        <f>IF($B459="","",IFERROR(VLOOKUP($B459,'Catálogo_SI'!$A:$B,2,FALSE),"ID no encontrado"))</f>
        <v/>
      </c>
    </row>
    <row r="460">
      <c r="C460" s="2">
        <f>IF($B460="","",IFERROR(VLOOKUP($B460,'Catálogo_SI'!$A:$B,2,FALSE),"ID no encontrado"))</f>
        <v/>
      </c>
    </row>
    <row r="461">
      <c r="C461" s="2">
        <f>IF($B461="","",IFERROR(VLOOKUP($B461,'Catálogo_SI'!$A:$B,2,FALSE),"ID no encontrado"))</f>
        <v/>
      </c>
    </row>
    <row r="462">
      <c r="C462" s="2">
        <f>IF($B462="","",IFERROR(VLOOKUP($B462,'Catálogo_SI'!$A:$B,2,FALSE),"ID no encontrado"))</f>
        <v/>
      </c>
    </row>
    <row r="463">
      <c r="C463" s="2">
        <f>IF($B463="","",IFERROR(VLOOKUP($B463,'Catálogo_SI'!$A:$B,2,FALSE),"ID no encontrado"))</f>
        <v/>
      </c>
    </row>
    <row r="464">
      <c r="C464" s="2">
        <f>IF($B464="","",IFERROR(VLOOKUP($B464,'Catálogo_SI'!$A:$B,2,FALSE),"ID no encontrado"))</f>
        <v/>
      </c>
    </row>
    <row r="465">
      <c r="C465" s="2">
        <f>IF($B465="","",IFERROR(VLOOKUP($B465,'Catálogo_SI'!$A:$B,2,FALSE),"ID no encontrado"))</f>
        <v/>
      </c>
    </row>
    <row r="466">
      <c r="C466" s="2">
        <f>IF($B466="","",IFERROR(VLOOKUP($B466,'Catálogo_SI'!$A:$B,2,FALSE),"ID no encontrado"))</f>
        <v/>
      </c>
    </row>
    <row r="467">
      <c r="C467" s="2">
        <f>IF($B467="","",IFERROR(VLOOKUP($B467,'Catálogo_SI'!$A:$B,2,FALSE),"ID no encontrado"))</f>
        <v/>
      </c>
    </row>
    <row r="468">
      <c r="C468" s="2">
        <f>IF($B468="","",IFERROR(VLOOKUP($B468,'Catálogo_SI'!$A:$B,2,FALSE),"ID no encontrado"))</f>
        <v/>
      </c>
    </row>
    <row r="469">
      <c r="C469" s="2">
        <f>IF($B469="","",IFERROR(VLOOKUP($B469,'Catálogo_SI'!$A:$B,2,FALSE),"ID no encontrado"))</f>
        <v/>
      </c>
    </row>
    <row r="470">
      <c r="C470" s="2">
        <f>IF($B470="","",IFERROR(VLOOKUP($B470,'Catálogo_SI'!$A:$B,2,FALSE),"ID no encontrado"))</f>
        <v/>
      </c>
    </row>
    <row r="471">
      <c r="C471" s="2">
        <f>IF($B471="","",IFERROR(VLOOKUP($B471,'Catálogo_SI'!$A:$B,2,FALSE),"ID no encontrado"))</f>
        <v/>
      </c>
    </row>
    <row r="472">
      <c r="C472" s="2">
        <f>IF($B472="","",IFERROR(VLOOKUP($B472,'Catálogo_SI'!$A:$B,2,FALSE),"ID no encontrado"))</f>
        <v/>
      </c>
    </row>
    <row r="473">
      <c r="C473" s="2">
        <f>IF($B473="","",IFERROR(VLOOKUP($B473,'Catálogo_SI'!$A:$B,2,FALSE),"ID no encontrado"))</f>
        <v/>
      </c>
    </row>
    <row r="474">
      <c r="C474" s="2">
        <f>IF($B474="","",IFERROR(VLOOKUP($B474,'Catálogo_SI'!$A:$B,2,FALSE),"ID no encontrado"))</f>
        <v/>
      </c>
    </row>
    <row r="475">
      <c r="C475" s="2">
        <f>IF($B475="","",IFERROR(VLOOKUP($B475,'Catálogo_SI'!$A:$B,2,FALSE),"ID no encontrado"))</f>
        <v/>
      </c>
    </row>
    <row r="476">
      <c r="C476" s="2">
        <f>IF($B476="","",IFERROR(VLOOKUP($B476,'Catálogo_SI'!$A:$B,2,FALSE),"ID no encontrado"))</f>
        <v/>
      </c>
    </row>
    <row r="477">
      <c r="C477" s="2">
        <f>IF($B477="","",IFERROR(VLOOKUP($B477,'Catálogo_SI'!$A:$B,2,FALSE),"ID no encontrado"))</f>
        <v/>
      </c>
    </row>
    <row r="478">
      <c r="C478" s="2">
        <f>IF($B478="","",IFERROR(VLOOKUP($B478,'Catálogo_SI'!$A:$B,2,FALSE),"ID no encontrado"))</f>
        <v/>
      </c>
    </row>
    <row r="479">
      <c r="C479" s="2">
        <f>IF($B479="","",IFERROR(VLOOKUP($B479,'Catálogo_SI'!$A:$B,2,FALSE),"ID no encontrado"))</f>
        <v/>
      </c>
    </row>
    <row r="480">
      <c r="C480" s="2">
        <f>IF($B480="","",IFERROR(VLOOKUP($B480,'Catálogo_SI'!$A:$B,2,FALSE),"ID no encontrado"))</f>
        <v/>
      </c>
    </row>
    <row r="481">
      <c r="C481" s="2">
        <f>IF($B481="","",IFERROR(VLOOKUP($B481,'Catálogo_SI'!$A:$B,2,FALSE),"ID no encontrado"))</f>
        <v/>
      </c>
    </row>
    <row r="482">
      <c r="C482" s="2">
        <f>IF($B482="","",IFERROR(VLOOKUP($B482,'Catálogo_SI'!$A:$B,2,FALSE),"ID no encontrado"))</f>
        <v/>
      </c>
    </row>
    <row r="483">
      <c r="C483" s="2">
        <f>IF($B483="","",IFERROR(VLOOKUP($B483,'Catálogo_SI'!$A:$B,2,FALSE),"ID no encontrado"))</f>
        <v/>
      </c>
    </row>
    <row r="484">
      <c r="C484" s="2">
        <f>IF($B484="","",IFERROR(VLOOKUP($B484,'Catálogo_SI'!$A:$B,2,FALSE),"ID no encontrado"))</f>
        <v/>
      </c>
    </row>
    <row r="485">
      <c r="C485" s="2">
        <f>IF($B485="","",IFERROR(VLOOKUP($B485,'Catálogo_SI'!$A:$B,2,FALSE),"ID no encontrado"))</f>
        <v/>
      </c>
    </row>
    <row r="486">
      <c r="C486" s="2">
        <f>IF($B486="","",IFERROR(VLOOKUP($B486,'Catálogo_SI'!$A:$B,2,FALSE),"ID no encontrado"))</f>
        <v/>
      </c>
    </row>
    <row r="487">
      <c r="C487" s="2">
        <f>IF($B487="","",IFERROR(VLOOKUP($B487,'Catálogo_SI'!$A:$B,2,FALSE),"ID no encontrado"))</f>
        <v/>
      </c>
    </row>
    <row r="488">
      <c r="C488" s="2">
        <f>IF($B488="","",IFERROR(VLOOKUP($B488,'Catálogo_SI'!$A:$B,2,FALSE),"ID no encontrado"))</f>
        <v/>
      </c>
    </row>
    <row r="489">
      <c r="C489" s="2">
        <f>IF($B489="","",IFERROR(VLOOKUP($B489,'Catálogo_SI'!$A:$B,2,FALSE),"ID no encontrado"))</f>
        <v/>
      </c>
    </row>
    <row r="490">
      <c r="C490" s="2">
        <f>IF($B490="","",IFERROR(VLOOKUP($B490,'Catálogo_SI'!$A:$B,2,FALSE),"ID no encontrado"))</f>
        <v/>
      </c>
    </row>
    <row r="491">
      <c r="C491" s="2">
        <f>IF($B491="","",IFERROR(VLOOKUP($B491,'Catálogo_SI'!$A:$B,2,FALSE),"ID no encontrado"))</f>
        <v/>
      </c>
    </row>
    <row r="492">
      <c r="C492" s="2">
        <f>IF($B492="","",IFERROR(VLOOKUP($B492,'Catálogo_SI'!$A:$B,2,FALSE),"ID no encontrado"))</f>
        <v/>
      </c>
    </row>
    <row r="493">
      <c r="C493" s="2">
        <f>IF($B493="","",IFERROR(VLOOKUP($B493,'Catálogo_SI'!$A:$B,2,FALSE),"ID no encontrado"))</f>
        <v/>
      </c>
    </row>
    <row r="494">
      <c r="C494" s="2">
        <f>IF($B494="","",IFERROR(VLOOKUP($B494,'Catálogo_SI'!$A:$B,2,FALSE),"ID no encontrado"))</f>
        <v/>
      </c>
    </row>
    <row r="495">
      <c r="C495" s="2">
        <f>IF($B495="","",IFERROR(VLOOKUP($B495,'Catálogo_SI'!$A:$B,2,FALSE),"ID no encontrado"))</f>
        <v/>
      </c>
    </row>
    <row r="496">
      <c r="C496" s="2">
        <f>IF($B496="","",IFERROR(VLOOKUP($B496,'Catálogo_SI'!$A:$B,2,FALSE),"ID no encontrado"))</f>
        <v/>
      </c>
    </row>
    <row r="497">
      <c r="C497" s="2">
        <f>IF($B497="","",IFERROR(VLOOKUP($B497,'Catálogo_SI'!$A:$B,2,FALSE),"ID no encontrado"))</f>
        <v/>
      </c>
    </row>
    <row r="498">
      <c r="C498" s="2">
        <f>IF($B498="","",IFERROR(VLOOKUP($B498,'Catálogo_SI'!$A:$B,2,FALSE),"ID no encontrado"))</f>
        <v/>
      </c>
    </row>
    <row r="499">
      <c r="C499" s="2">
        <f>IF($B499="","",IFERROR(VLOOKUP($B499,'Catálogo_SI'!$A:$B,2,FALSE),"ID no encontrado"))</f>
        <v/>
      </c>
    </row>
    <row r="500">
      <c r="C500" s="2">
        <f>IF($B500="","",IFERROR(VLOOKUP($B500,'Catálogo_SI'!$A:$B,2,FALSE),"ID no encontrado"))</f>
        <v/>
      </c>
    </row>
    <row r="501">
      <c r="C501" s="2">
        <f>IF($B501="","",IFERROR(VLOOKUP($B501,'Catálogo_SI'!$A:$B,2,FALSE),"ID no encontrado"))</f>
        <v/>
      </c>
    </row>
  </sheetData>
  <autoFilter ref="A1:O1"/>
  <dataValidations count="6">
    <dataValidation sqref="F2:F501" showDropDown="0" showInputMessage="0" showErrorMessage="1" allowBlank="1" errorTitle="Valor no permitido" error="Use únicamente valores del vocabulario controlado (hoja Listas)." type="list">
      <formula1>=Listas!$W$2:$W$4</formula1>
    </dataValidation>
    <dataValidation sqref="G2:G501" showDropDown="0" showInputMessage="0" showErrorMessage="1" allowBlank="1" errorTitle="Valor no permitido" error="Use únicamente valores del vocabulario controlado (hoja Listas)." type="list">
      <formula1>=Listas!$X$2:$X$9</formula1>
    </dataValidation>
    <dataValidation sqref="I2:I501" showDropDown="0" showInputMessage="0" showErrorMessage="1" allowBlank="1" errorTitle="Valor no permitido" error="Use únicamente valores del vocabulario controlado (hoja Listas)." type="list">
      <formula1>=Listas!$Y$2:$Y$4</formula1>
    </dataValidation>
    <dataValidation sqref="K2:K501" showDropDown="0" showInputMessage="0" showErrorMessage="1" allowBlank="1" errorTitle="Valor no permitido" error="Use únicamente valores del vocabulario controlado (hoja Listas)." type="list">
      <formula1>=Listas!$AB$2:$AB$4</formula1>
    </dataValidation>
    <dataValidation sqref="L2:L501" showDropDown="0" showInputMessage="0" showErrorMessage="1" allowBlank="1" errorTitle="Valor no permitido" error="Use únicamente valores del vocabulario controlado (hoja Listas)." type="list">
      <formula1>=Listas!$Z$2:$Z$7</formula1>
    </dataValidation>
    <dataValidation sqref="N2:N501" showDropDown="0" showInputMessage="0" showErrorMessage="1" allowBlank="1" errorTitle="Valor no permitido" error="Use únicamente valores del vocabulario controlado (hoja Listas)." type="list">
      <formula1>=Listas!$AA$2:$AA$5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42" customHeight="1">
      <c r="A1" s="1" t="inlineStr">
        <is>
          <t>ID_Componente</t>
        </is>
      </c>
      <c r="B1" s="1" t="inlineStr">
        <is>
          <t>ID_SI_Padre</t>
        </is>
      </c>
      <c r="C1" s="1" t="inlineStr">
        <is>
          <t>Nombre_Componente</t>
        </is>
      </c>
      <c r="D1" s="1" t="inlineStr">
        <is>
          <t>Tipo_de_Componente</t>
        </is>
      </c>
      <c r="E1" s="1" t="inlineStr">
        <is>
          <t>Funcion</t>
        </is>
      </c>
      <c r="F1" s="1" t="inlineStr">
        <is>
          <t>Compartido_con_otro_SI</t>
        </is>
      </c>
      <c r="G1" s="1" t="inlineStr">
        <is>
          <t>Estado</t>
        </is>
      </c>
      <c r="H1" s="1" t="inlineStr">
        <is>
          <t>Version</t>
        </is>
      </c>
      <c r="I1" s="1" t="inlineStr">
        <is>
          <t>Modelo_de_despliegue</t>
        </is>
      </c>
      <c r="J1" s="1" t="inlineStr">
        <is>
          <t>Tecnologia_principal</t>
        </is>
      </c>
      <c r="K1" s="1" t="inlineStr">
        <is>
          <t>Base_de_datos_asociada</t>
        </is>
      </c>
      <c r="L1" s="1" t="inlineStr">
        <is>
          <t>Proveedor_o_Fabricante</t>
        </is>
      </c>
      <c r="M1" s="1" t="inlineStr">
        <is>
          <t>Soporte_vigente_hasta</t>
        </is>
      </c>
      <c r="N1" s="1" t="inlineStr">
        <is>
          <t>Criticidad</t>
        </is>
      </c>
      <c r="O1" s="1" t="inlineStr">
        <is>
          <t>Observaciones</t>
        </is>
      </c>
    </row>
  </sheetData>
  <autoFilter ref="A1:O1"/>
  <dataValidations count="5">
    <dataValidation sqref="D2:D501" showDropDown="0" showInputMessage="0" showErrorMessage="1" allowBlank="1" errorTitle="Valor no permitido" error="Use únicamente valores del vocabulario controlado (hoja Listas)." type="list">
      <formula1>=Listas!$AC$2:$AC$10</formula1>
    </dataValidation>
    <dataValidation sqref="F2:F501" showDropDown="0" showInputMessage="0" showErrorMessage="1" allowBlank="1" errorTitle="Valor no permitido" error="Use únicamente valores del vocabulario controlado (hoja Listas)." type="list">
      <formula1>=Listas!$L$2:$L$3</formula1>
    </dataValidation>
    <dataValidation sqref="G2:G501" showDropDown="0" showInputMessage="0" showErrorMessage="1" allowBlank="1" errorTitle="Valor no permitido" error="Use únicamente valores del vocabulario controlado (hoja Listas)." type="list">
      <formula1>=Listas!$AA$2:$AA$5</formula1>
    </dataValidation>
    <dataValidation sqref="I2:I501" showDropDown="0" showInputMessage="0" showErrorMessage="1" allowBlank="1" errorTitle="Valor no permitido" error="Use únicamente valores del vocabulario controlado (hoja Listas)." type="list">
      <formula1>=Listas!$D$2:$D$7</formula1>
    </dataValidation>
    <dataValidation sqref="N2:N501" showDropDown="0" showInputMessage="0" showErrorMessage="1" allowBlank="1" errorTitle="Valor no permitido" error="Use únicamente valores del vocabulario controlado (hoja Listas)." type="list">
      <formula1>=Listas!$AB$2:$AB$4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5" customWidth="1" min="3" max="3"/>
    <col width="30" customWidth="1" min="4" max="4"/>
    <col width="14" customWidth="1" min="5" max="5"/>
    <col width="24" customWidth="1" min="6" max="6"/>
    <col width="14" customWidth="1" min="7" max="7"/>
    <col width="34" customWidth="1" min="8" max="8"/>
    <col width="34" customWidth="1" min="9" max="9"/>
    <col width="16" customWidth="1" min="10" max="10"/>
  </cols>
  <sheetData>
    <row r="1">
      <c r="A1" s="3" t="inlineStr">
        <is>
          <t>Hoja</t>
        </is>
      </c>
      <c r="B1" s="3" t="inlineStr">
        <is>
          <t>Campo</t>
        </is>
      </c>
      <c r="C1" s="3" t="inlineStr">
        <is>
          <t>Definición</t>
        </is>
      </c>
      <c r="D1" s="3" t="inlineStr">
        <is>
          <t>Fuente</t>
        </is>
      </c>
      <c r="E1" s="3" t="inlineStr">
        <is>
          <t>Obligatoriedad</t>
        </is>
      </c>
      <c r="F1" s="3" t="inlineStr">
        <is>
          <t>Responsable del dato</t>
        </is>
      </c>
      <c r="G1" s="3" t="inlineStr">
        <is>
          <t>Tipo de dato</t>
        </is>
      </c>
      <c r="H1" s="3" t="inlineStr">
        <is>
          <t>Vocabulario / regla de validación</t>
        </is>
      </c>
      <c r="I1" s="3" t="inlineStr">
        <is>
          <t>Fórmula (si aplica)</t>
        </is>
      </c>
      <c r="J1" s="3" t="inlineStr">
        <is>
          <t>Origen (Catálogo / Ficha / Calculado)</t>
        </is>
      </c>
    </row>
    <row r="2">
      <c r="A2" s="4" t="inlineStr">
        <is>
          <t>Catálogo_SI</t>
        </is>
      </c>
      <c r="B2" s="4" t="inlineStr">
        <is>
          <t>ID_SI</t>
        </is>
      </c>
      <c r="C2" s="4" t="inlineStr">
        <is>
          <t>Código único del SI.</t>
        </is>
      </c>
      <c r="D2" s="4" t="inlineStr">
        <is>
          <t>Institucional</t>
        </is>
      </c>
      <c r="E2" s="4" t="inlineStr">
        <is>
          <t>Obligatorio</t>
        </is>
      </c>
      <c r="F2" s="4" t="inlineStr">
        <is>
          <t>OTIC</t>
        </is>
      </c>
      <c r="G2" s="4" t="inlineStr">
        <is>
          <t>Texto</t>
        </is>
      </c>
      <c r="H2" s="4" t="inlineStr">
        <is>
          <t>Patrón SI-#### definido por OTIC</t>
        </is>
      </c>
      <c r="I2" s="4" t="inlineStr"/>
      <c r="J2" s="4" t="inlineStr">
        <is>
          <t>Catálogo</t>
        </is>
      </c>
    </row>
    <row r="3">
      <c r="A3" s="4" t="inlineStr">
        <is>
          <t>Catálogo_SI</t>
        </is>
      </c>
      <c r="B3" s="4" t="inlineStr">
        <is>
          <t>Nombre_oficial</t>
        </is>
      </c>
      <c r="C3" s="4" t="inlineStr">
        <is>
          <t>Nombre institucional vigente del SI.</t>
        </is>
      </c>
      <c r="D3" s="4" t="inlineStr">
        <is>
          <t>Institucional</t>
        </is>
      </c>
      <c r="E3" s="4" t="inlineStr">
        <is>
          <t>Obligatorio</t>
        </is>
      </c>
      <c r="F3" s="4" t="inlineStr">
        <is>
          <t>Responsable funcional</t>
        </is>
      </c>
      <c r="G3" s="4" t="inlineStr">
        <is>
          <t>Texto</t>
        </is>
      </c>
      <c r="H3" s="4" t="inlineStr">
        <is>
          <t>No aplica</t>
        </is>
      </c>
      <c r="I3" s="4" t="inlineStr"/>
      <c r="J3" s="4" t="inlineStr">
        <is>
          <t>Catálogo</t>
        </is>
      </c>
    </row>
    <row r="4">
      <c r="A4" s="4" t="inlineStr">
        <is>
          <t>Catálogo_SI</t>
        </is>
      </c>
      <c r="B4" s="4" t="inlineStr">
        <is>
          <t>Sigla_Acronimo</t>
        </is>
      </c>
      <c r="C4" s="4" t="inlineStr">
        <is>
          <t>Sigla o acrónimo usado oficialmente.</t>
        </is>
      </c>
      <c r="D4" s="4" t="inlineStr">
        <is>
          <t>Institucional</t>
        </is>
      </c>
      <c r="E4" s="4" t="inlineStr">
        <is>
          <t>Recomendado</t>
        </is>
      </c>
      <c r="F4" s="4" t="inlineStr">
        <is>
          <t>Responsable funcional</t>
        </is>
      </c>
      <c r="G4" s="4" t="inlineStr">
        <is>
          <t>Texto</t>
        </is>
      </c>
      <c r="H4" s="4" t="inlineStr">
        <is>
          <t>No aplica</t>
        </is>
      </c>
      <c r="I4" s="4" t="inlineStr"/>
      <c r="J4" s="4" t="inlineStr">
        <is>
          <t>Catálogo</t>
        </is>
      </c>
    </row>
    <row r="5">
      <c r="A5" s="4" t="inlineStr">
        <is>
          <t>Catálogo_SI</t>
        </is>
      </c>
      <c r="B5" s="4" t="inlineStr">
        <is>
          <t>Tipo_o_patron_de_SI</t>
        </is>
      </c>
      <c r="C5" s="4" t="inlineStr">
        <is>
          <t>Clasifica el SI como transaccional, ERP, CRM, BPM, CMS, SGD, GIS, solución analítica u otro.</t>
        </is>
      </c>
      <c r="D5" s="4" t="inlineStr">
        <is>
          <t>Institucional (Fase 1)</t>
        </is>
      </c>
      <c r="E5" s="4" t="inlineStr">
        <is>
          <t>Obligatorio</t>
        </is>
      </c>
      <c r="F5" s="4" t="inlineStr">
        <is>
          <t>OTIC + responsables</t>
        </is>
      </c>
      <c r="G5" s="4" t="inlineStr">
        <is>
          <t>Lista</t>
        </is>
      </c>
      <c r="H5" s="4" t="inlineStr">
        <is>
          <t>Listas!Tipo_o_patron_de_SI</t>
        </is>
      </c>
      <c r="I5" s="4" t="inlineStr"/>
      <c r="J5" s="4" t="inlineStr">
        <is>
          <t>Catálogo</t>
        </is>
      </c>
    </row>
    <row r="6">
      <c r="A6" s="4" t="inlineStr">
        <is>
          <t>Catálogo_SI</t>
        </is>
      </c>
      <c r="B6" s="4" t="inlineStr">
        <is>
          <t>Categoria_institucional</t>
        </is>
      </c>
      <c r="C6" s="4" t="inlineStr">
        <is>
          <t>Clasificación institucional misional/estratégica/apoyo/evaluación/otro.</t>
        </is>
      </c>
      <c r="D6" s="4" t="inlineStr">
        <is>
          <t>Institucional</t>
        </is>
      </c>
      <c r="E6" s="4" t="inlineStr">
        <is>
          <t>Obligatorio</t>
        </is>
      </c>
      <c r="F6" s="4" t="inlineStr">
        <is>
          <t>Responsable funcional</t>
        </is>
      </c>
      <c r="G6" s="4" t="inlineStr">
        <is>
          <t>Lista</t>
        </is>
      </c>
      <c r="H6" s="4" t="inlineStr">
        <is>
          <t>Listas!Categoria_institucional</t>
        </is>
      </c>
      <c r="I6" s="4" t="inlineStr"/>
      <c r="J6" s="4" t="inlineStr">
        <is>
          <t>Catálogo</t>
        </is>
      </c>
    </row>
    <row r="7">
      <c r="A7" s="4" t="inlineStr">
        <is>
          <t>Catálogo_SI</t>
        </is>
      </c>
      <c r="B7" s="4" t="inlineStr">
        <is>
          <t>Descripcion_breve</t>
        </is>
      </c>
      <c r="C7" s="4" t="inlineStr">
        <is>
          <t>Resumen de propósito y alcance.</t>
        </is>
      </c>
      <c r="D7" s="4" t="inlineStr">
        <is>
          <t>Institucional</t>
        </is>
      </c>
      <c r="E7" s="4" t="inlineStr">
        <is>
          <t>Obligatorio</t>
        </is>
      </c>
      <c r="F7" s="4" t="inlineStr">
        <is>
          <t>Responsable funcional</t>
        </is>
      </c>
      <c r="G7" s="4" t="inlineStr">
        <is>
          <t>Texto corto</t>
        </is>
      </c>
      <c r="H7" s="4" t="inlineStr">
        <is>
          <t>No aplica</t>
        </is>
      </c>
      <c r="I7" s="4" t="inlineStr"/>
      <c r="J7" s="4" t="inlineStr">
        <is>
          <t>Catálogo</t>
        </is>
      </c>
    </row>
    <row r="8">
      <c r="A8" s="4" t="inlineStr">
        <is>
          <t>Catálogo_SI</t>
        </is>
      </c>
      <c r="B8" s="4" t="inlineStr">
        <is>
          <t>Procesos_institucionales_soportados</t>
        </is>
      </c>
      <c r="C8" s="4" t="inlineStr">
        <is>
          <t>Procesos del mapa institucional soportados por el SI.</t>
        </is>
      </c>
      <c r="D8" s="4" t="inlineStr">
        <is>
          <t>MAE / Institucional</t>
        </is>
      </c>
      <c r="E8" s="4" t="inlineStr">
        <is>
          <t>Obligatorio</t>
        </is>
      </c>
      <c r="F8" s="4" t="inlineStr">
        <is>
          <t>Responsable funcional</t>
        </is>
      </c>
      <c r="G8" s="4" t="inlineStr">
        <is>
          <t>Texto / lista</t>
        </is>
      </c>
      <c r="H8" s="4" t="inlineStr">
        <is>
          <t>Procesos vigentes</t>
        </is>
      </c>
      <c r="I8" s="4" t="inlineStr"/>
      <c r="J8" s="4" t="inlineStr">
        <is>
          <t>Catálogo</t>
        </is>
      </c>
    </row>
    <row r="9">
      <c r="A9" s="4" t="inlineStr">
        <is>
          <t>Catálogo_SI</t>
        </is>
      </c>
      <c r="B9" s="4" t="inlineStr">
        <is>
          <t>Dependencia_duena_del_proceso</t>
        </is>
      </c>
      <c r="C9" s="4" t="inlineStr">
        <is>
          <t>Dependencia dueña del proceso soportado.</t>
        </is>
      </c>
      <c r="D9" s="4" t="inlineStr">
        <is>
          <t>Institucional</t>
        </is>
      </c>
      <c r="E9" s="4" t="inlineStr">
        <is>
          <t>Obligatorio</t>
        </is>
      </c>
      <c r="F9" s="4" t="inlineStr">
        <is>
          <t>Responsable funcional</t>
        </is>
      </c>
      <c r="G9" s="4" t="inlineStr">
        <is>
          <t>Lista</t>
        </is>
      </c>
      <c r="H9" s="4" t="inlineStr">
        <is>
          <t>Listas!Dependencias_institucionales</t>
        </is>
      </c>
      <c r="I9" s="4" t="inlineStr"/>
      <c r="J9" s="4" t="inlineStr">
        <is>
          <t>Catálogo</t>
        </is>
      </c>
    </row>
    <row r="10">
      <c r="A10" s="4" t="inlineStr">
        <is>
          <t>Catálogo_SI</t>
        </is>
      </c>
      <c r="B10" s="4" t="inlineStr">
        <is>
          <t>Area_responsable_funcional</t>
        </is>
      </c>
      <c r="C10" s="4" t="inlineStr">
        <is>
          <t>Área que ejerce liderazgo funcional.</t>
        </is>
      </c>
      <c r="D10" s="4" t="inlineStr">
        <is>
          <t>Institucional</t>
        </is>
      </c>
      <c r="E10" s="4" t="inlineStr">
        <is>
          <t>Obligatorio</t>
        </is>
      </c>
      <c r="F10" s="4" t="inlineStr">
        <is>
          <t>Responsable funcional</t>
        </is>
      </c>
      <c r="G10" s="4" t="inlineStr">
        <is>
          <t>Lista</t>
        </is>
      </c>
      <c r="H10" s="4" t="inlineStr">
        <is>
          <t>Listas!Dependencias_institucionales</t>
        </is>
      </c>
      <c r="I10" s="4" t="inlineStr"/>
      <c r="J10" s="4" t="inlineStr">
        <is>
          <t>Catálogo</t>
        </is>
      </c>
    </row>
    <row r="11">
      <c r="A11" s="4" t="inlineStr">
        <is>
          <t>Catálogo_SI</t>
        </is>
      </c>
      <c r="B11" s="4" t="inlineStr">
        <is>
          <t>Responsable_funcional</t>
        </is>
      </c>
      <c r="C11" s="4" t="inlineStr">
        <is>
          <t>Nombre del responsable funcional designado.</t>
        </is>
      </c>
      <c r="D11" s="4" t="inlineStr">
        <is>
          <t>Institucional</t>
        </is>
      </c>
      <c r="E11" s="4" t="inlineStr">
        <is>
          <t>Obligatorio</t>
        </is>
      </c>
      <c r="F11" s="4" t="inlineStr">
        <is>
          <t>Responsable funcional</t>
        </is>
      </c>
      <c r="G11" s="4" t="inlineStr">
        <is>
          <t>Texto</t>
        </is>
      </c>
      <c r="H11" s="4" t="inlineStr">
        <is>
          <t>No aplica</t>
        </is>
      </c>
      <c r="I11" s="4" t="inlineStr"/>
      <c r="J11" s="4" t="inlineStr">
        <is>
          <t>Catálogo</t>
        </is>
      </c>
    </row>
    <row r="12">
      <c r="A12" s="4" t="inlineStr">
        <is>
          <t>Catálogo_SI</t>
        </is>
      </c>
      <c r="B12" s="4" t="inlineStr">
        <is>
          <t>Area_responsable_tecnica</t>
        </is>
      </c>
      <c r="C12" s="4" t="inlineStr">
        <is>
          <t>Área TI responsable de la operación técnica.</t>
        </is>
      </c>
      <c r="D12" s="4" t="inlineStr">
        <is>
          <t>Institucional</t>
        </is>
      </c>
      <c r="E12" s="4" t="inlineStr">
        <is>
          <t>Obligatorio</t>
        </is>
      </c>
      <c r="F12" s="4" t="inlineStr">
        <is>
          <t>Responsable técnico</t>
        </is>
      </c>
      <c r="G12" s="4" t="inlineStr">
        <is>
          <t>Lista</t>
        </is>
      </c>
      <c r="H12" s="4" t="inlineStr">
        <is>
          <t>Listas!Dependencias_institucionales</t>
        </is>
      </c>
      <c r="I12" s="4" t="inlineStr"/>
      <c r="J12" s="4" t="inlineStr">
        <is>
          <t>Catálogo</t>
        </is>
      </c>
    </row>
    <row r="13">
      <c r="A13" s="4" t="inlineStr">
        <is>
          <t>Catálogo_SI</t>
        </is>
      </c>
      <c r="B13" s="4" t="inlineStr">
        <is>
          <t>Responsable_tecnico</t>
        </is>
      </c>
      <c r="C13" s="4" t="inlineStr">
        <is>
          <t>Nombre del responsable técnico designado.</t>
        </is>
      </c>
      <c r="D13" s="4" t="inlineStr">
        <is>
          <t>Institucional</t>
        </is>
      </c>
      <c r="E13" s="4" t="inlineStr">
        <is>
          <t>Obligatorio</t>
        </is>
      </c>
      <c r="F13" s="4" t="inlineStr">
        <is>
          <t>Responsable técnico</t>
        </is>
      </c>
      <c r="G13" s="4" t="inlineStr">
        <is>
          <t>Texto</t>
        </is>
      </c>
      <c r="H13" s="4" t="inlineStr">
        <is>
          <t>No aplica</t>
        </is>
      </c>
      <c r="I13" s="4" t="inlineStr"/>
      <c r="J13" s="4" t="inlineStr">
        <is>
          <t>Catálogo</t>
        </is>
      </c>
    </row>
    <row r="14">
      <c r="A14" s="4" t="inlineStr">
        <is>
          <t>Catálogo_SI</t>
        </is>
      </c>
      <c r="B14" s="4" t="inlineStr">
        <is>
          <t>Estado_del_SI</t>
        </is>
      </c>
      <c r="C14" s="4" t="inlineStr">
        <is>
          <t>Estado actual del ciclo de vida.</t>
        </is>
      </c>
      <c r="D14" s="4" t="inlineStr">
        <is>
          <t>Institucional alineada con MGGTI</t>
        </is>
      </c>
      <c r="E14" s="4" t="inlineStr">
        <is>
          <t>Obligatorio</t>
        </is>
      </c>
      <c r="F14" s="4" t="inlineStr">
        <is>
          <t>Responsable técnico</t>
        </is>
      </c>
      <c r="G14" s="4" t="inlineStr">
        <is>
          <t>Lista</t>
        </is>
      </c>
      <c r="H14" s="4" t="inlineStr">
        <is>
          <t>Listas!Estado_del_SI</t>
        </is>
      </c>
      <c r="I14" s="4" t="inlineStr"/>
      <c r="J14" s="4" t="inlineStr">
        <is>
          <t>Catálogo</t>
        </is>
      </c>
    </row>
    <row r="15">
      <c r="A15" s="4" t="inlineStr">
        <is>
          <t>Catálogo_SI</t>
        </is>
      </c>
      <c r="B15" s="4" t="inlineStr">
        <is>
          <t>Fecha_salida_produccion</t>
        </is>
      </c>
      <c r="C15" s="4" t="inlineStr">
        <is>
          <t>Fecha de primera puesta en producción.</t>
        </is>
      </c>
      <c r="D15" s="4" t="inlineStr">
        <is>
          <t>Institucional</t>
        </is>
      </c>
      <c r="E15" s="4" t="inlineStr">
        <is>
          <t>Obligatorio</t>
        </is>
      </c>
      <c r="F15" s="4" t="inlineStr">
        <is>
          <t>Responsable técnico</t>
        </is>
      </c>
      <c r="G15" s="4" t="inlineStr">
        <is>
          <t>Fecha</t>
        </is>
      </c>
      <c r="H15" s="4" t="inlineStr">
        <is>
          <t>DD/MM/AAAA</t>
        </is>
      </c>
      <c r="I15" s="4" t="inlineStr"/>
      <c r="J15" s="4" t="inlineStr">
        <is>
          <t>Catálogo</t>
        </is>
      </c>
    </row>
    <row r="16">
      <c r="A16" s="4" t="inlineStr">
        <is>
          <t>Catálogo_SI</t>
        </is>
      </c>
      <c r="B16" s="4" t="inlineStr">
        <is>
          <t>Version_actual</t>
        </is>
      </c>
      <c r="C16" s="4" t="inlineStr">
        <is>
          <t>Versión actualmente operativa.</t>
        </is>
      </c>
      <c r="D16" s="4" t="inlineStr">
        <is>
          <t>Institucional</t>
        </is>
      </c>
      <c r="E16" s="4" t="inlineStr">
        <is>
          <t>Recomendado</t>
        </is>
      </c>
      <c r="F16" s="4" t="inlineStr">
        <is>
          <t>Responsable técnico</t>
        </is>
      </c>
      <c r="G16" s="4" t="inlineStr">
        <is>
          <t>Texto</t>
        </is>
      </c>
      <c r="H16" s="4" t="inlineStr">
        <is>
          <t>No aplica</t>
        </is>
      </c>
      <c r="I16" s="4" t="inlineStr"/>
      <c r="J16" s="4" t="inlineStr">
        <is>
          <t>Catálogo</t>
        </is>
      </c>
    </row>
    <row r="17">
      <c r="A17" s="4" t="inlineStr">
        <is>
          <t>Catálogo_SI</t>
        </is>
      </c>
      <c r="B17" s="4" t="inlineStr">
        <is>
          <t>Modelo_de_despliegue</t>
        </is>
      </c>
      <c r="C17" s="4" t="inlineStr">
        <is>
          <t>Modalidad principal de operación.</t>
        </is>
      </c>
      <c r="D17" s="4" t="inlineStr">
        <is>
          <t>Institucional / NIST SP 800-145 complementario</t>
        </is>
      </c>
      <c r="E17" s="4" t="inlineStr">
        <is>
          <t>Obligatorio</t>
        </is>
      </c>
      <c r="F17" s="4" t="inlineStr">
        <is>
          <t>Responsable técnico</t>
        </is>
      </c>
      <c r="G17" s="4" t="inlineStr">
        <is>
          <t>Lista</t>
        </is>
      </c>
      <c r="H17" s="4" t="inlineStr">
        <is>
          <t>Listas!Modelo_de_despliegue</t>
        </is>
      </c>
      <c r="I17" s="4" t="inlineStr"/>
      <c r="J17" s="4" t="inlineStr">
        <is>
          <t>Catálogo</t>
        </is>
      </c>
    </row>
    <row r="18">
      <c r="A18" s="4" t="inlineStr">
        <is>
          <t>Catálogo_SI</t>
        </is>
      </c>
      <c r="B18" s="4" t="inlineStr">
        <is>
          <t>Tipo_de_desarrollo_adquisicion</t>
        </is>
      </c>
      <c r="C18" s="4" t="inlineStr">
        <is>
          <t>Forma de obtención del SI.</t>
        </is>
      </c>
      <c r="D18" s="4" t="inlineStr">
        <is>
          <t>Institucional</t>
        </is>
      </c>
      <c r="E18" s="4" t="inlineStr">
        <is>
          <t>Obligatorio</t>
        </is>
      </c>
      <c r="F18" s="4" t="inlineStr">
        <is>
          <t>Responsable técnico</t>
        </is>
      </c>
      <c r="G18" s="4" t="inlineStr">
        <is>
          <t>Lista</t>
        </is>
      </c>
      <c r="H18" s="4" t="inlineStr">
        <is>
          <t>Listas!Tipo_de_desarrollo_adquisicion</t>
        </is>
      </c>
      <c r="I18" s="4" t="inlineStr"/>
      <c r="J18" s="4" t="inlineStr">
        <is>
          <t>Catálogo</t>
        </is>
      </c>
    </row>
    <row r="19">
      <c r="A19" s="4" t="inlineStr">
        <is>
          <t>Catálogo_SI</t>
        </is>
      </c>
      <c r="B19" s="4" t="inlineStr">
        <is>
          <t>Fabricante_o_proveedor_principal</t>
        </is>
      </c>
      <c r="C19" s="4" t="inlineStr">
        <is>
          <t>Proveedor principal del producto o servicio.</t>
        </is>
      </c>
      <c r="D19" s="4" t="inlineStr">
        <is>
          <t>Institucional</t>
        </is>
      </c>
      <c r="E19" s="4" t="inlineStr">
        <is>
          <t>Recomendado</t>
        </is>
      </c>
      <c r="F19" s="4" t="inlineStr">
        <is>
          <t>Técnico / contratación</t>
        </is>
      </c>
      <c r="G19" s="4" t="inlineStr">
        <is>
          <t>Texto</t>
        </is>
      </c>
      <c r="H19" s="4" t="inlineStr">
        <is>
          <t>No aplica</t>
        </is>
      </c>
      <c r="I19" s="4" t="inlineStr"/>
      <c r="J19" s="4" t="inlineStr">
        <is>
          <t>Catálogo</t>
        </is>
      </c>
    </row>
    <row r="20">
      <c r="A20" s="4" t="inlineStr">
        <is>
          <t>Catálogo_SI</t>
        </is>
      </c>
      <c r="B20" s="4" t="inlineStr">
        <is>
          <t>Tipo_de_licenciamiento</t>
        </is>
      </c>
      <c r="C20" s="4" t="inlineStr">
        <is>
          <t>Modalidad principal de licenciamiento.</t>
        </is>
      </c>
      <c r="D20" s="4" t="inlineStr">
        <is>
          <t>Institucional</t>
        </is>
      </c>
      <c r="E20" s="4" t="inlineStr">
        <is>
          <t>Recomendado</t>
        </is>
      </c>
      <c r="F20" s="4" t="inlineStr">
        <is>
          <t>Técnico / contratación</t>
        </is>
      </c>
      <c r="G20" s="4" t="inlineStr">
        <is>
          <t>Lista</t>
        </is>
      </c>
      <c r="H20" s="4" t="inlineStr">
        <is>
          <t>Listas!Tipo_de_licenciamiento</t>
        </is>
      </c>
      <c r="I20" s="4" t="inlineStr"/>
      <c r="J20" s="4" t="inlineStr">
        <is>
          <t>Catálogo</t>
        </is>
      </c>
    </row>
    <row r="21">
      <c r="A21" s="4" t="inlineStr">
        <is>
          <t>Catálogo_SI</t>
        </is>
      </c>
      <c r="B21" s="4" t="inlineStr">
        <is>
          <t>Soporte_vigente_hasta</t>
        </is>
      </c>
      <c r="C21" s="4" t="inlineStr">
        <is>
          <t>Fecha de vencimiento de soporte o mantenimiento principal.</t>
        </is>
      </c>
      <c r="D21" s="4" t="inlineStr">
        <is>
          <t>Institucional, alineada con MGGTI.G.SI</t>
        </is>
      </c>
      <c r="E21" s="4" t="inlineStr">
        <is>
          <t>Obligatorio</t>
        </is>
      </c>
      <c r="F21" s="4" t="inlineStr">
        <is>
          <t>Técnico / contratación</t>
        </is>
      </c>
      <c r="G21" s="4" t="inlineStr">
        <is>
          <t>Fecha</t>
        </is>
      </c>
      <c r="H21" s="4" t="inlineStr">
        <is>
          <t>DD/MM/AAAA</t>
        </is>
      </c>
      <c r="I21" s="4" t="inlineStr"/>
      <c r="J21" s="4" t="inlineStr">
        <is>
          <t>Catálogo</t>
        </is>
      </c>
    </row>
    <row r="22">
      <c r="A22" s="4" t="inlineStr">
        <is>
          <t>Catálogo_SI</t>
        </is>
      </c>
      <c r="B22" s="4" t="inlineStr">
        <is>
          <t>Estado_ANS_terceros</t>
        </is>
      </c>
      <c r="C22" s="4" t="inlineStr">
        <is>
          <t>Estado del ANS si el soporte es tercerizado.</t>
        </is>
      </c>
      <c r="D22" s="4" t="inlineStr">
        <is>
          <t>Institucional, alineada con MGGTI.G.SI</t>
        </is>
      </c>
      <c r="E22" s="4" t="inlineStr">
        <is>
          <t>Condicional</t>
        </is>
      </c>
      <c r="F22" s="4" t="inlineStr">
        <is>
          <t>Técnico / contratación</t>
        </is>
      </c>
      <c r="G22" s="4" t="inlineStr">
        <is>
          <t>Lista</t>
        </is>
      </c>
      <c r="H22" s="4" t="inlineStr">
        <is>
          <t>Listas!Estado_ANS_terceros</t>
        </is>
      </c>
      <c r="I22" s="4" t="inlineStr"/>
      <c r="J22" s="4" t="inlineStr">
        <is>
          <t>Catálogo</t>
        </is>
      </c>
    </row>
    <row r="23">
      <c r="A23" s="4" t="inlineStr">
        <is>
          <t>Catálogo_SI</t>
        </is>
      </c>
      <c r="B23" s="4" t="inlineStr">
        <is>
          <t>Marco_legal_mandatorio</t>
        </is>
      </c>
      <c r="C23" s="4" t="inlineStr">
        <is>
          <t>Norma principal que obliga o condiciona el SI.</t>
        </is>
      </c>
      <c r="D23" s="4" t="inlineStr">
        <is>
          <t>Institucional apoyada en marco legal</t>
        </is>
      </c>
      <c r="E23" s="4" t="inlineStr">
        <is>
          <t>Recomendado</t>
        </is>
      </c>
      <c r="F23" s="4" t="inlineStr">
        <is>
          <t>Responsable funcional</t>
        </is>
      </c>
      <c r="G23" s="4" t="inlineStr">
        <is>
          <t>Texto corto</t>
        </is>
      </c>
      <c r="H23" s="4" t="inlineStr">
        <is>
          <t>No aplica</t>
        </is>
      </c>
      <c r="I23" s="4" t="inlineStr"/>
      <c r="J23" s="4" t="inlineStr">
        <is>
          <t>Catálogo</t>
        </is>
      </c>
    </row>
    <row r="24">
      <c r="A24" s="4" t="inlineStr">
        <is>
          <t>Catálogo_SI</t>
        </is>
      </c>
      <c r="B24" s="4" t="inlineStr">
        <is>
          <t>Objetivos_estrategicos_que_apoya</t>
        </is>
      </c>
      <c r="C24" s="4" t="inlineStr">
        <is>
          <t>Objetivos institucionales o sectoriales soportados.</t>
        </is>
      </c>
      <c r="D24" s="4" t="inlineStr">
        <is>
          <t>Institucional</t>
        </is>
      </c>
      <c r="E24" s="4" t="inlineStr">
        <is>
          <t>Recomendado</t>
        </is>
      </c>
      <c r="F24" s="4" t="inlineStr">
        <is>
          <t>Responsable funcional</t>
        </is>
      </c>
      <c r="G24" s="4" t="inlineStr">
        <is>
          <t>Texto / lista</t>
        </is>
      </c>
      <c r="H24" s="4" t="inlineStr">
        <is>
          <t>PEI / planeación vigente</t>
        </is>
      </c>
      <c r="I24" s="4" t="inlineStr"/>
      <c r="J24" s="4" t="inlineStr">
        <is>
          <t>Catálogo</t>
        </is>
      </c>
    </row>
    <row r="25">
      <c r="A25" s="4" t="inlineStr">
        <is>
          <t>Catálogo_SI</t>
        </is>
      </c>
      <c r="B25" s="4" t="inlineStr">
        <is>
          <t>Criticidad_operacional</t>
        </is>
      </c>
      <c r="C25" s="4" t="inlineStr">
        <is>
          <t>Impacto por indisponibilidad del SI.</t>
        </is>
      </c>
      <c r="D25" s="4" t="inlineStr">
        <is>
          <t>Institucional / MSPI</t>
        </is>
      </c>
      <c r="E25" s="4" t="inlineStr">
        <is>
          <t>Obligatorio</t>
        </is>
      </c>
      <c r="F25" s="4" t="inlineStr">
        <is>
          <t>Resp. funcional + técnico</t>
        </is>
      </c>
      <c r="G25" s="4" t="inlineStr">
        <is>
          <t>Lista</t>
        </is>
      </c>
      <c r="H25" s="4" t="inlineStr">
        <is>
          <t>Listas!Criticidad_operacional</t>
        </is>
      </c>
      <c r="I25" s="4" t="inlineStr"/>
      <c r="J25" s="4" t="inlineStr">
        <is>
          <t>Catálogo</t>
        </is>
      </c>
    </row>
    <row r="26">
      <c r="A26" s="4" t="inlineStr">
        <is>
          <t>Catálogo_SI</t>
        </is>
      </c>
      <c r="B26" s="4" t="inlineStr">
        <is>
          <t>Usuarios_activos</t>
        </is>
      </c>
      <c r="C26" s="4" t="inlineStr">
        <is>
          <t>Número de usuarios activos o recurrentes.</t>
        </is>
      </c>
      <c r="D26" s="4" t="inlineStr">
        <is>
          <t>Institucional</t>
        </is>
      </c>
      <c r="E26" s="4" t="inlineStr">
        <is>
          <t>Recomendado</t>
        </is>
      </c>
      <c r="F26" s="4" t="inlineStr">
        <is>
          <t>Responsable funcional</t>
        </is>
      </c>
      <c r="G26" s="4" t="inlineStr">
        <is>
          <t>Número entero</t>
        </is>
      </c>
      <c r="H26" s="4" t="inlineStr">
        <is>
          <t>&gt;=0</t>
        </is>
      </c>
      <c r="I26" s="4" t="inlineStr"/>
      <c r="J26" s="4" t="inlineStr">
        <is>
          <t>Catálogo</t>
        </is>
      </c>
    </row>
    <row r="27">
      <c r="A27" s="4" t="inlineStr">
        <is>
          <t>Catálogo_SI</t>
        </is>
      </c>
      <c r="B27" s="4" t="inlineStr">
        <is>
          <t>Cobertura_del_proceso</t>
        </is>
      </c>
      <c r="C27" s="4" t="inlineStr">
        <is>
          <t>Grado de cobertura del proceso soportado.</t>
        </is>
      </c>
      <c r="D27" s="4" t="inlineStr">
        <is>
          <t>Institucional</t>
        </is>
      </c>
      <c r="E27" s="4" t="inlineStr">
        <is>
          <t>Recomendado</t>
        </is>
      </c>
      <c r="F27" s="4" t="inlineStr">
        <is>
          <t>Responsable funcional</t>
        </is>
      </c>
      <c r="G27" s="4" t="inlineStr">
        <is>
          <t>Lista</t>
        </is>
      </c>
      <c r="H27" s="4" t="inlineStr">
        <is>
          <t>Listas!Cobertura_del_proceso</t>
        </is>
      </c>
      <c r="I27" s="4" t="inlineStr"/>
      <c r="J27" s="4" t="inlineStr">
        <is>
          <t>Catálogo</t>
        </is>
      </c>
    </row>
    <row r="28">
      <c r="A28" s="4" t="inlineStr">
        <is>
          <t>Catálogo_SI</t>
        </is>
      </c>
      <c r="B28" s="4" t="inlineStr">
        <is>
          <t>Clasificacion_de_la_informacion</t>
        </is>
      </c>
      <c r="C28" s="4" t="inlineStr">
        <is>
          <t>Nivel de clasificación de la información tratada.</t>
        </is>
      </c>
      <c r="D28" s="4" t="inlineStr">
        <is>
          <t>Ley 1712 + institucional</t>
        </is>
      </c>
      <c r="E28" s="4" t="inlineStr">
        <is>
          <t>Obligatorio</t>
        </is>
      </c>
      <c r="F28" s="4" t="inlineStr">
        <is>
          <t>Responsable funcional</t>
        </is>
      </c>
      <c r="G28" s="4" t="inlineStr">
        <is>
          <t>Lista</t>
        </is>
      </c>
      <c r="H28" s="4" t="inlineStr">
        <is>
          <t>Listas!Clasificacion_de_la_informacion</t>
        </is>
      </c>
      <c r="I28" s="4" t="inlineStr"/>
      <c r="J28" s="4" t="inlineStr">
        <is>
          <t>Catálogo</t>
        </is>
      </c>
    </row>
    <row r="29">
      <c r="A29" s="4" t="inlineStr">
        <is>
          <t>Catálogo_SI</t>
        </is>
      </c>
      <c r="B29" s="4" t="inlineStr">
        <is>
          <t>Manejo_de_datos_personales</t>
        </is>
      </c>
      <c r="C29" s="4" t="inlineStr">
        <is>
          <t>Indica si el SI trata datos personales y en qué rol.</t>
        </is>
      </c>
      <c r="D29" s="4" t="inlineStr">
        <is>
          <t>Ley 1581 / Decreto 1074 + institucional</t>
        </is>
      </c>
      <c r="E29" s="4" t="inlineStr">
        <is>
          <t>Obligatorio</t>
        </is>
      </c>
      <c r="F29" s="4" t="inlineStr">
        <is>
          <t>Responsable funcional</t>
        </is>
      </c>
      <c r="G29" s="4" t="inlineStr">
        <is>
          <t>Lista</t>
        </is>
      </c>
      <c r="H29" s="4" t="inlineStr">
        <is>
          <t>Listas!Manejo_de_datos_personales</t>
        </is>
      </c>
      <c r="I29" s="4" t="inlineStr"/>
      <c r="J29" s="4" t="inlineStr">
        <is>
          <t>Catálogo</t>
        </is>
      </c>
    </row>
    <row r="30">
      <c r="A30" s="4" t="inlineStr">
        <is>
          <t>Catálogo_SI</t>
        </is>
      </c>
      <c r="B30" s="4" t="inlineStr">
        <is>
          <t>Interopera_con_entidades_externas</t>
        </is>
      </c>
      <c r="C30" s="4" t="inlineStr">
        <is>
          <t>Indica si hay interoperabilidad con terceros externos.</t>
        </is>
      </c>
      <c r="D30" s="4" t="inlineStr">
        <is>
          <t>Institucional</t>
        </is>
      </c>
      <c r="E30" s="4" t="inlineStr">
        <is>
          <t>Obligatorio</t>
        </is>
      </c>
      <c r="F30" s="4" t="inlineStr">
        <is>
          <t>Responsable técnico</t>
        </is>
      </c>
      <c r="G30" s="4" t="inlineStr">
        <is>
          <t>Lista</t>
        </is>
      </c>
      <c r="H30" s="4" t="inlineStr">
        <is>
          <t>Sí / No</t>
        </is>
      </c>
      <c r="I30" s="4" t="inlineStr"/>
      <c r="J30" s="4" t="inlineStr">
        <is>
          <t>Catálogo</t>
        </is>
      </c>
    </row>
    <row r="31">
      <c r="A31" s="4" t="inlineStr">
        <is>
          <t>Catálogo_SI</t>
        </is>
      </c>
      <c r="B31" s="4" t="inlineStr">
        <is>
          <t>Numero_integraciones_activas</t>
        </is>
      </c>
      <c r="C31" s="4" t="inlineStr">
        <is>
          <t>Conteo de integraciones/interfaces vigentes asociadas al SI.</t>
        </is>
      </c>
      <c r="D31" s="4" t="inlineStr">
        <is>
          <t>Calculado</t>
        </is>
      </c>
      <c r="E31" s="4" t="inlineStr">
        <is>
          <t>Automático</t>
        </is>
      </c>
      <c r="F31" s="4" t="inlineStr">
        <is>
          <t>Calculado</t>
        </is>
      </c>
      <c r="G31" s="4" t="inlineStr">
        <is>
          <t>Número entero</t>
        </is>
      </c>
      <c r="H31" s="4" t="inlineStr">
        <is>
          <t>&gt;=0</t>
        </is>
      </c>
      <c r="I31" s="4" t="inlineStr">
        <is>
          <t>COUNTIFS sobre Integraciones_Interfaces (ID_SI_Origen + Estado=Activa)</t>
        </is>
      </c>
      <c r="J31" s="4" t="inlineStr">
        <is>
          <t>Calculado</t>
        </is>
      </c>
    </row>
    <row r="32">
      <c r="A32" s="4" t="inlineStr">
        <is>
          <t>Catálogo_SI</t>
        </is>
      </c>
      <c r="B32" s="4" t="inlineStr">
        <is>
          <t>Numero_componentes_registrados</t>
        </is>
      </c>
      <c r="C32" s="4" t="inlineStr">
        <is>
          <t>Conteo de componentes registrados para el SI.</t>
        </is>
      </c>
      <c r="D32" s="4" t="inlineStr">
        <is>
          <t>Calculado</t>
        </is>
      </c>
      <c r="E32" s="4" t="inlineStr">
        <is>
          <t>Automático</t>
        </is>
      </c>
      <c r="F32" s="4" t="inlineStr">
        <is>
          <t>Calculado</t>
        </is>
      </c>
      <c r="G32" s="4" t="inlineStr">
        <is>
          <t>Número entero</t>
        </is>
      </c>
      <c r="H32" s="4" t="inlineStr">
        <is>
          <t>&gt;=0</t>
        </is>
      </c>
      <c r="I32" s="4" t="inlineStr">
        <is>
          <t>COUNTIF sobre Componentes (ID_SI_Padre)</t>
        </is>
      </c>
      <c r="J32" s="4" t="inlineStr">
        <is>
          <t>Calculado</t>
        </is>
      </c>
    </row>
    <row r="33">
      <c r="A33" s="4" t="inlineStr">
        <is>
          <t>Catálogo_SI</t>
        </is>
      </c>
      <c r="B33" s="4" t="inlineStr">
        <is>
          <t>Valoracion_de_seguridad</t>
        </is>
      </c>
      <c r="C33" s="4" t="inlineStr">
        <is>
          <t>Vigencia de valoración MSPI/seguridad.</t>
        </is>
      </c>
      <c r="D33" s="4" t="inlineStr">
        <is>
          <t>MSPI / institucional</t>
        </is>
      </c>
      <c r="E33" s="4" t="inlineStr">
        <is>
          <t>Obligatorio</t>
        </is>
      </c>
      <c r="F33" s="4" t="inlineStr">
        <is>
          <t>Técnico / seguridad</t>
        </is>
      </c>
      <c r="G33" s="4" t="inlineStr">
        <is>
          <t>Lista</t>
        </is>
      </c>
      <c r="H33" s="4" t="inlineStr">
        <is>
          <t>Listas!Valoracion_de_seguridad</t>
        </is>
      </c>
      <c r="I33" s="4" t="inlineStr"/>
      <c r="J33" s="4" t="inlineStr">
        <is>
          <t>Catálogo</t>
        </is>
      </c>
    </row>
    <row r="34">
      <c r="A34" s="4" t="inlineStr">
        <is>
          <t>Catálogo_SI</t>
        </is>
      </c>
      <c r="B34" s="4" t="inlineStr">
        <is>
          <t>Nivel_de_riesgo_residual</t>
        </is>
      </c>
      <c r="C34" s="4" t="inlineStr">
        <is>
          <t>Riesgo residual más reciente del SI.</t>
        </is>
      </c>
      <c r="D34" s="4" t="inlineStr">
        <is>
          <t>MSPI / institucional</t>
        </is>
      </c>
      <c r="E34" s="4" t="inlineStr">
        <is>
          <t>Recomendado</t>
        </is>
      </c>
      <c r="F34" s="4" t="inlineStr">
        <is>
          <t>Seguridad / técnico</t>
        </is>
      </c>
      <c r="G34" s="4" t="inlineStr">
        <is>
          <t>Lista</t>
        </is>
      </c>
      <c r="H34" s="4" t="inlineStr">
        <is>
          <t>Listas!Nivel_de_riesgo_residual</t>
        </is>
      </c>
      <c r="I34" s="4" t="inlineStr"/>
      <c r="J34" s="4" t="inlineStr">
        <is>
          <t>Catálogo</t>
        </is>
      </c>
    </row>
    <row r="35">
      <c r="A35" s="4" t="inlineStr">
        <is>
          <t>Catálogo_SI</t>
        </is>
      </c>
      <c r="B35" s="4" t="inlineStr">
        <is>
          <t>Backup_definido</t>
        </is>
      </c>
      <c r="C35" s="4" t="inlineStr">
        <is>
          <t>Indica si existe respaldo definido.</t>
        </is>
      </c>
      <c r="D35" s="4" t="inlineStr">
        <is>
          <t>Institucional / continuidad</t>
        </is>
      </c>
      <c r="E35" s="4" t="inlineStr">
        <is>
          <t>Obligatorio</t>
        </is>
      </c>
      <c r="F35" s="4" t="inlineStr">
        <is>
          <t>Responsable técnico</t>
        </is>
      </c>
      <c r="G35" s="4" t="inlineStr">
        <is>
          <t>Lista</t>
        </is>
      </c>
      <c r="H35" s="4" t="inlineStr">
        <is>
          <t>Listas!Backup_definido</t>
        </is>
      </c>
      <c r="I35" s="4" t="inlineStr"/>
      <c r="J35" s="4" t="inlineStr">
        <is>
          <t>Catálogo</t>
        </is>
      </c>
    </row>
    <row r="36">
      <c r="A36" s="4" t="inlineStr">
        <is>
          <t>Catálogo_SI</t>
        </is>
      </c>
      <c r="B36" s="4" t="inlineStr">
        <is>
          <t>Plan_de_continuidad</t>
        </is>
      </c>
      <c r="C36" s="4" t="inlineStr">
        <is>
          <t>Estado del plan de continuidad/contingencia.</t>
        </is>
      </c>
      <c r="D36" s="4" t="inlineStr">
        <is>
          <t>Institucional / MSPI</t>
        </is>
      </c>
      <c r="E36" s="4" t="inlineStr">
        <is>
          <t>Recomendado</t>
        </is>
      </c>
      <c r="F36" s="4" t="inlineStr">
        <is>
          <t>Responsable técnico</t>
        </is>
      </c>
      <c r="G36" s="4" t="inlineStr">
        <is>
          <t>Lista</t>
        </is>
      </c>
      <c r="H36" s="4" t="inlineStr">
        <is>
          <t>Listas!Plan_de_continuidad</t>
        </is>
      </c>
      <c r="I36" s="4" t="inlineStr"/>
      <c r="J36" s="4" t="inlineStr">
        <is>
          <t>Catálogo</t>
        </is>
      </c>
    </row>
    <row r="37">
      <c r="A37" s="4" t="inlineStr">
        <is>
          <t>Catálogo_SI</t>
        </is>
      </c>
      <c r="B37" s="4" t="inlineStr">
        <is>
          <t>Estado_documentacion_minima</t>
        </is>
      </c>
      <c r="C37" s="4" t="inlineStr">
        <is>
          <t>Resultado agregado del estado de documentación mínima exigible.</t>
        </is>
      </c>
      <c r="D37" s="4" t="inlineStr">
        <is>
          <t>MGGTI.G.SI + calculado institucional</t>
        </is>
      </c>
      <c r="E37" s="4" t="inlineStr">
        <is>
          <t>Obligatorio</t>
        </is>
      </c>
      <c r="F37" s="4" t="inlineStr">
        <is>
          <t>Calculado desde Ficha/Calidad</t>
        </is>
      </c>
      <c r="G37" s="4" t="inlineStr">
        <is>
          <t>Lista</t>
        </is>
      </c>
      <c r="H37" s="4" t="inlineStr">
        <is>
          <t>Listas!Estado_documentacion_minima</t>
        </is>
      </c>
      <c r="I37" s="4" t="inlineStr"/>
      <c r="J37" s="4" t="inlineStr">
        <is>
          <t>Catálogo</t>
        </is>
      </c>
    </row>
    <row r="38">
      <c r="A38" s="4" t="inlineStr">
        <is>
          <t>Catálogo_SI</t>
        </is>
      </c>
      <c r="B38" s="4" t="inlineStr">
        <is>
          <t>Clasificacion_TIME</t>
        </is>
      </c>
      <c r="C38" s="4" t="inlineStr">
        <is>
          <t>Clasificación estratégica final del SI.</t>
        </is>
      </c>
      <c r="D38" s="4" t="inlineStr">
        <is>
          <t>Decisión institucional (marco complementario TIME; no obligación MinTIC)</t>
        </is>
      </c>
      <c r="E38" s="4" t="inlineStr">
        <is>
          <t>Obligatorio</t>
        </is>
      </c>
      <c r="F38" s="4" t="inlineStr">
        <is>
          <t>OTIC / comité</t>
        </is>
      </c>
      <c r="G38" s="4" t="inlineStr">
        <is>
          <t>Lista</t>
        </is>
      </c>
      <c r="H38" s="4" t="inlineStr">
        <is>
          <t>T, I, M, E</t>
        </is>
      </c>
      <c r="I38" s="4" t="inlineStr"/>
      <c r="J38" s="4" t="inlineStr">
        <is>
          <t>Catálogo</t>
        </is>
      </c>
    </row>
    <row r="39">
      <c r="A39" s="4" t="inlineStr">
        <is>
          <t>Catálogo_SI</t>
        </is>
      </c>
      <c r="B39" s="4" t="inlineStr">
        <is>
          <t>Tipo_intervencion_recomendada</t>
        </is>
      </c>
      <c r="C39" s="4" t="inlineStr">
        <is>
          <t>Acción principal sugerida.</t>
        </is>
      </c>
      <c r="D39" s="4" t="inlineStr">
        <is>
          <t>Institucional</t>
        </is>
      </c>
      <c r="E39" s="4" t="inlineStr">
        <is>
          <t>Obligatorio</t>
        </is>
      </c>
      <c r="F39" s="4" t="inlineStr">
        <is>
          <t>OTIC</t>
        </is>
      </c>
      <c r="G39" s="4" t="inlineStr">
        <is>
          <t>Lista</t>
        </is>
      </c>
      <c r="H39" s="4" t="inlineStr">
        <is>
          <t>Listas!Tipo_intervencion_recomendada</t>
        </is>
      </c>
      <c r="I39" s="4" t="inlineStr"/>
      <c r="J39" s="4" t="inlineStr">
        <is>
          <t>Catálogo</t>
        </is>
      </c>
    </row>
    <row r="40">
      <c r="A40" s="4" t="inlineStr">
        <is>
          <t>Catálogo_SI</t>
        </is>
      </c>
      <c r="B40" s="4" t="inlineStr">
        <is>
          <t>Prioridad_intervencion</t>
        </is>
      </c>
      <c r="C40" s="4" t="inlineStr">
        <is>
          <t>Nivel de prioridad resultante.</t>
        </is>
      </c>
      <c r="D40" s="4" t="inlineStr">
        <is>
          <t>Institucional / calculado</t>
        </is>
      </c>
      <c r="E40" s="4" t="inlineStr">
        <is>
          <t>Obligatorio</t>
        </is>
      </c>
      <c r="F40" s="4" t="inlineStr">
        <is>
          <t>OTIC</t>
        </is>
      </c>
      <c r="G40" s="4" t="inlineStr">
        <is>
          <t>Lista</t>
        </is>
      </c>
      <c r="H40" s="4" t="inlineStr">
        <is>
          <t>Listas!Prioridad_intervencion</t>
        </is>
      </c>
      <c r="I40" s="4" t="inlineStr"/>
      <c r="J40" s="4" t="inlineStr">
        <is>
          <t>Catálogo</t>
        </is>
      </c>
    </row>
    <row r="41">
      <c r="A41" s="4" t="inlineStr">
        <is>
          <t>Catálogo_SI</t>
        </is>
      </c>
      <c r="B41" s="4" t="inlineStr">
        <is>
          <t>TCO_anual_total_COP</t>
        </is>
      </c>
      <c r="C41" s="4" t="inlineStr">
        <is>
          <t>Estimado o valor anual consolidado del TCO.</t>
        </is>
      </c>
      <c r="D41" s="4" t="inlineStr">
        <is>
          <t>Decisión institucional de gestión del portafolio</t>
        </is>
      </c>
      <c r="E41" s="4" t="inlineStr">
        <is>
          <t>Recomendado</t>
        </is>
      </c>
      <c r="F41" s="4" t="inlineStr">
        <is>
          <t>Financiero / técnico</t>
        </is>
      </c>
      <c r="G41" s="4" t="inlineStr">
        <is>
          <t>Número moneda</t>
        </is>
      </c>
      <c r="H41" s="4" t="inlineStr">
        <is>
          <t>&gt;=0</t>
        </is>
      </c>
      <c r="I41" s="4" t="inlineStr"/>
      <c r="J41" s="4" t="inlineStr">
        <is>
          <t>Catálogo</t>
        </is>
      </c>
    </row>
    <row r="42">
      <c r="A42" s="4" t="inlineStr">
        <is>
          <t>Catálogo_SI</t>
        </is>
      </c>
      <c r="B42" s="4" t="inlineStr">
        <is>
          <t>Ratio_TCO_por_usuario_COP</t>
        </is>
      </c>
      <c r="C42" s="4" t="inlineStr">
        <is>
          <t>TCO total dividido por usuarios activos.</t>
        </is>
      </c>
      <c r="D42" s="4" t="inlineStr">
        <is>
          <t>Calculado</t>
        </is>
      </c>
      <c r="E42" s="4" t="inlineStr">
        <is>
          <t>Recomendado</t>
        </is>
      </c>
      <c r="F42" s="4" t="inlineStr">
        <is>
          <t>Calculado</t>
        </is>
      </c>
      <c r="G42" s="4" t="inlineStr">
        <is>
          <t>Número moneda</t>
        </is>
      </c>
      <c r="H42" s="4" t="inlineStr">
        <is>
          <t>&gt;=0</t>
        </is>
      </c>
      <c r="I42" s="4" t="inlineStr">
        <is>
          <t>TCO_anual_total_COP / Usuarios_activos</t>
        </is>
      </c>
      <c r="J42" s="4" t="inlineStr">
        <is>
          <t>Calculado</t>
        </is>
      </c>
    </row>
    <row r="43">
      <c r="A43" s="4" t="inlineStr">
        <is>
          <t>Catálogo_SI</t>
        </is>
      </c>
      <c r="B43" s="4" t="inlineStr">
        <is>
          <t>Ultima_revision_anual</t>
        </is>
      </c>
      <c r="C43" s="4" t="inlineStr">
        <is>
          <t>Fecha de última revisión integral del SI.</t>
        </is>
      </c>
      <c r="D43" s="4" t="inlineStr">
        <is>
          <t>Institucional</t>
        </is>
      </c>
      <c r="E43" s="4" t="inlineStr">
        <is>
          <t>Obligatorio</t>
        </is>
      </c>
      <c r="F43" s="4" t="inlineStr">
        <is>
          <t>OTIC</t>
        </is>
      </c>
      <c r="G43" s="4" t="inlineStr">
        <is>
          <t>Fecha</t>
        </is>
      </c>
      <c r="H43" s="4" t="inlineStr">
        <is>
          <t>DD/MM/AAAA</t>
        </is>
      </c>
      <c r="I43" s="4" t="inlineStr"/>
      <c r="J43" s="4" t="inlineStr">
        <is>
          <t>Catálogo</t>
        </is>
      </c>
    </row>
    <row r="44">
      <c r="A44" s="4" t="inlineStr">
        <is>
          <t>Catálogo_SI</t>
        </is>
      </c>
      <c r="B44" s="4" t="inlineStr">
        <is>
          <t>Proxima_revision_programada</t>
        </is>
      </c>
      <c r="C44" s="4" t="inlineStr">
        <is>
          <t>Fecha programada de la próxima revisión.</t>
        </is>
      </c>
      <c r="D44" s="4" t="inlineStr">
        <is>
          <t>Institucional</t>
        </is>
      </c>
      <c r="E44" s="4" t="inlineStr">
        <is>
          <t>Recomendado</t>
        </is>
      </c>
      <c r="F44" s="4" t="inlineStr">
        <is>
          <t>OTIC</t>
        </is>
      </c>
      <c r="G44" s="4" t="inlineStr">
        <is>
          <t>Fecha</t>
        </is>
      </c>
      <c r="H44" s="4" t="inlineStr">
        <is>
          <t>DD/MM/AAAA</t>
        </is>
      </c>
      <c r="I44" s="4" t="inlineStr"/>
      <c r="J44" s="4" t="inlineStr">
        <is>
          <t>Catálogo</t>
        </is>
      </c>
    </row>
    <row r="45">
      <c r="A45" s="4" t="inlineStr">
        <is>
          <t>Catálogo_SI</t>
        </is>
      </c>
      <c r="B45" s="4" t="inlineStr">
        <is>
          <t>Vigencia_del_registro</t>
        </is>
      </c>
      <c r="C45" s="4" t="inlineStr">
        <is>
          <t>Señala si el registro sigue activo o se conserva históricamente.</t>
        </is>
      </c>
      <c r="D45" s="4" t="inlineStr">
        <is>
          <t>Institucional</t>
        </is>
      </c>
      <c r="E45" s="4" t="inlineStr">
        <is>
          <t>Obligatorio</t>
        </is>
      </c>
      <c r="F45" s="4" t="inlineStr">
        <is>
          <t>OTIC / calculado</t>
        </is>
      </c>
      <c r="G45" s="4" t="inlineStr">
        <is>
          <t>Lista</t>
        </is>
      </c>
      <c r="H45" s="4" t="inlineStr">
        <is>
          <t>Vigente, Histórico</t>
        </is>
      </c>
      <c r="I45" s="4" t="inlineStr"/>
      <c r="J45" s="4" t="inlineStr">
        <is>
          <t>Catálogo</t>
        </is>
      </c>
    </row>
    <row r="46">
      <c r="A46" s="4" t="inlineStr">
        <is>
          <t>Integraciones_Interfaces</t>
        </is>
      </c>
      <c r="B46" s="4" t="inlineStr">
        <is>
          <t>ID_Integracion</t>
        </is>
      </c>
      <c r="C46" s="4" t="inlineStr">
        <is>
          <t>Código único de la integración o interfaz (patrón INT-####).</t>
        </is>
      </c>
      <c r="D46" s="4" t="inlineStr">
        <is>
          <t>Institucional</t>
        </is>
      </c>
      <c r="E46" s="4" t="inlineStr">
        <is>
          <t>Obligatorio</t>
        </is>
      </c>
      <c r="F46" s="4" t="inlineStr">
        <is>
          <t>OTIC</t>
        </is>
      </c>
      <c r="G46" s="4" t="inlineStr">
        <is>
          <t>Texto</t>
        </is>
      </c>
      <c r="H46" s="4" t="inlineStr">
        <is>
          <t>Patrón INT-####</t>
        </is>
      </c>
      <c r="I46" s="4" t="inlineStr"/>
      <c r="J46" s="4" t="inlineStr">
        <is>
          <t>Catálogo</t>
        </is>
      </c>
    </row>
    <row r="47">
      <c r="A47" s="4" t="inlineStr">
        <is>
          <t>Integraciones_Interfaces</t>
        </is>
      </c>
      <c r="B47" s="4" t="inlineStr">
        <is>
          <t>ID_SI_Origen</t>
        </is>
      </c>
      <c r="C47" s="4" t="inlineStr">
        <is>
          <t>ID del SI del catálogo que origina o expone la relación.</t>
        </is>
      </c>
      <c r="D47" s="4" t="inlineStr">
        <is>
          <t>Institucional</t>
        </is>
      </c>
      <c r="E47" s="4" t="inlineStr">
        <is>
          <t>Obligatorio</t>
        </is>
      </c>
      <c r="F47" s="4" t="inlineStr">
        <is>
          <t>Responsable técnico</t>
        </is>
      </c>
      <c r="G47" s="4" t="inlineStr">
        <is>
          <t>Texto</t>
        </is>
      </c>
      <c r="H47" s="4" t="inlineStr">
        <is>
          <t>Debe existir en Catálogo_SI</t>
        </is>
      </c>
      <c r="I47" s="4" t="inlineStr"/>
      <c r="J47" s="4" t="inlineStr">
        <is>
          <t>Catálogo</t>
        </is>
      </c>
    </row>
    <row r="48">
      <c r="A48" s="4" t="inlineStr">
        <is>
          <t>Integraciones_Interfaces</t>
        </is>
      </c>
      <c r="B48" s="4" t="inlineStr">
        <is>
          <t>Nombre_SI_Origen</t>
        </is>
      </c>
      <c r="C48" s="4" t="inlineStr">
        <is>
          <t>Nombre del SI origen (derivado por búsqueda).</t>
        </is>
      </c>
      <c r="D48" s="4" t="inlineStr">
        <is>
          <t>Calculado</t>
        </is>
      </c>
      <c r="E48" s="4" t="inlineStr">
        <is>
          <t>Automático</t>
        </is>
      </c>
      <c r="F48" s="4" t="inlineStr">
        <is>
          <t>Calculado</t>
        </is>
      </c>
      <c r="G48" s="4" t="inlineStr">
        <is>
          <t>Texto</t>
        </is>
      </c>
      <c r="H48" s="4" t="inlineStr"/>
      <c r="I48" s="4" t="inlineStr">
        <is>
          <t>VLOOKUP contra Catálogo_SI</t>
        </is>
      </c>
      <c r="J48" s="4" t="inlineStr">
        <is>
          <t>Calculado</t>
        </is>
      </c>
    </row>
    <row r="49">
      <c r="A49" s="4" t="inlineStr">
        <is>
          <t>Integraciones_Interfaces</t>
        </is>
      </c>
      <c r="B49" s="4" t="inlineStr">
        <is>
          <t>ID_SI_Destino_o_Activo_Destino</t>
        </is>
      </c>
      <c r="C49" s="4" t="inlineStr">
        <is>
          <t>ID del SI destino o identificación del activo/entidad destino.</t>
        </is>
      </c>
      <c r="D49" s="4" t="inlineStr">
        <is>
          <t>Institucional</t>
        </is>
      </c>
      <c r="E49" s="4" t="inlineStr">
        <is>
          <t>Obligatorio</t>
        </is>
      </c>
      <c r="F49" s="4" t="inlineStr">
        <is>
          <t>Responsable técnico</t>
        </is>
      </c>
      <c r="G49" s="4" t="inlineStr">
        <is>
          <t>Texto</t>
        </is>
      </c>
      <c r="H49" s="4" t="inlineStr">
        <is>
          <t>ID_SI interno o identificador externo</t>
        </is>
      </c>
      <c r="I49" s="4" t="inlineStr"/>
      <c r="J49" s="4" t="inlineStr">
        <is>
          <t>Catálogo</t>
        </is>
      </c>
    </row>
    <row r="50">
      <c r="A50" s="4" t="inlineStr">
        <is>
          <t>Integraciones_Interfaces</t>
        </is>
      </c>
      <c r="B50" s="4" t="inlineStr">
        <is>
          <t>Nombre_Destino</t>
        </is>
      </c>
      <c r="C50" s="4" t="inlineStr">
        <is>
          <t>Nombre del sistema, activo o entidad destino.</t>
        </is>
      </c>
      <c r="D50" s="4" t="inlineStr">
        <is>
          <t>Institucional</t>
        </is>
      </c>
      <c r="E50" s="4" t="inlineStr">
        <is>
          <t>Obligatorio</t>
        </is>
      </c>
      <c r="F50" s="4" t="inlineStr">
        <is>
          <t>Responsable técnico</t>
        </is>
      </c>
      <c r="G50" s="4" t="inlineStr">
        <is>
          <t>Texto</t>
        </is>
      </c>
      <c r="H50" s="4" t="inlineStr">
        <is>
          <t>No aplica</t>
        </is>
      </c>
      <c r="I50" s="4" t="inlineStr"/>
      <c r="J50" s="4" t="inlineStr">
        <is>
          <t>Catálogo</t>
        </is>
      </c>
    </row>
    <row r="51">
      <c r="A51" s="4" t="inlineStr">
        <is>
          <t>Integraciones_Interfaces</t>
        </is>
      </c>
      <c r="B51" s="4" t="inlineStr">
        <is>
          <t>Tipo_de_registro</t>
        </is>
      </c>
      <c r="C51" s="4" t="inlineStr">
        <is>
          <t>Naturaleza del registro: integración, interfaz expuesta o consumida.</t>
        </is>
      </c>
      <c r="D51" s="4" t="inlineStr">
        <is>
          <t>Institucional</t>
        </is>
      </c>
      <c r="E51" s="4" t="inlineStr">
        <is>
          <t>Obligatorio</t>
        </is>
      </c>
      <c r="F51" s="4" t="inlineStr">
        <is>
          <t>Responsable técnico</t>
        </is>
      </c>
      <c r="G51" s="4" t="inlineStr">
        <is>
          <t>Lista</t>
        </is>
      </c>
      <c r="H51" s="4" t="inlineStr">
        <is>
          <t>Listas!Tipo_de_registro</t>
        </is>
      </c>
      <c r="I51" s="4" t="inlineStr"/>
      <c r="J51" s="4" t="inlineStr">
        <is>
          <t>Catálogo</t>
        </is>
      </c>
    </row>
    <row r="52">
      <c r="A52" s="4" t="inlineStr">
        <is>
          <t>Integraciones_Interfaces</t>
        </is>
      </c>
      <c r="B52" s="4" t="inlineStr">
        <is>
          <t>Tipo_de_interfaz_o_mecanismo</t>
        </is>
      </c>
      <c r="C52" s="4" t="inlineStr">
        <is>
          <t>Mecanismo técnico de la relación.</t>
        </is>
      </c>
      <c r="D52" s="4" t="inlineStr">
        <is>
          <t>Institucional / W3C / OASIS</t>
        </is>
      </c>
      <c r="E52" s="4" t="inlineStr">
        <is>
          <t>Obligatorio</t>
        </is>
      </c>
      <c r="F52" s="4" t="inlineStr">
        <is>
          <t>Responsable técnico</t>
        </is>
      </c>
      <c r="G52" s="4" t="inlineStr">
        <is>
          <t>Lista</t>
        </is>
      </c>
      <c r="H52" s="4" t="inlineStr">
        <is>
          <t>Listas!Tipo_de_interfaz_o_mecanismo</t>
        </is>
      </c>
      <c r="I52" s="4" t="inlineStr"/>
      <c r="J52" s="4" t="inlineStr">
        <is>
          <t>Catálogo</t>
        </is>
      </c>
    </row>
    <row r="53">
      <c r="A53" s="4" t="inlineStr">
        <is>
          <t>Integraciones_Interfaces</t>
        </is>
      </c>
      <c r="B53" s="4" t="inlineStr">
        <is>
          <t>Proposito</t>
        </is>
      </c>
      <c r="C53" s="4" t="inlineStr">
        <is>
          <t>Objetivo de negocio o técnico del intercambio.</t>
        </is>
      </c>
      <c r="D53" s="4" t="inlineStr">
        <is>
          <t>Institucional</t>
        </is>
      </c>
      <c r="E53" s="4" t="inlineStr">
        <is>
          <t>Obligatorio</t>
        </is>
      </c>
      <c r="F53" s="4" t="inlineStr">
        <is>
          <t>Responsable técnico</t>
        </is>
      </c>
      <c r="G53" s="4" t="inlineStr">
        <is>
          <t>Texto corto</t>
        </is>
      </c>
      <c r="H53" s="4" t="inlineStr">
        <is>
          <t>No aplica</t>
        </is>
      </c>
      <c r="I53" s="4" t="inlineStr"/>
      <c r="J53" s="4" t="inlineStr">
        <is>
          <t>Catálogo</t>
        </is>
      </c>
    </row>
    <row r="54">
      <c r="A54" s="4" t="inlineStr">
        <is>
          <t>Integraciones_Interfaces</t>
        </is>
      </c>
      <c r="B54" s="4" t="inlineStr">
        <is>
          <t>Direccion_del_flujo</t>
        </is>
      </c>
      <c r="C54" s="4" t="inlineStr">
        <is>
          <t>Sentido del flujo de datos respecto del SI origen.</t>
        </is>
      </c>
      <c r="D54" s="4" t="inlineStr">
        <is>
          <t>Institucional</t>
        </is>
      </c>
      <c r="E54" s="4" t="inlineStr">
        <is>
          <t>Obligatorio</t>
        </is>
      </c>
      <c r="F54" s="4" t="inlineStr">
        <is>
          <t>Responsable técnico</t>
        </is>
      </c>
      <c r="G54" s="4" t="inlineStr">
        <is>
          <t>Lista</t>
        </is>
      </c>
      <c r="H54" s="4" t="inlineStr">
        <is>
          <t>Listas!Direccion_del_flujo</t>
        </is>
      </c>
      <c r="I54" s="4" t="inlineStr"/>
      <c r="J54" s="4" t="inlineStr">
        <is>
          <t>Catálogo</t>
        </is>
      </c>
    </row>
    <row r="55">
      <c r="A55" s="4" t="inlineStr">
        <is>
          <t>Integraciones_Interfaces</t>
        </is>
      </c>
      <c r="B55" s="4" t="inlineStr">
        <is>
          <t>Entidad_externa_relacionada</t>
        </is>
      </c>
      <c r="C55" s="4" t="inlineStr">
        <is>
          <t>Entidad externa contraparte cuando aplique.</t>
        </is>
      </c>
      <c r="D55" s="4" t="inlineStr">
        <is>
          <t>Institucional</t>
        </is>
      </c>
      <c r="E55" s="4" t="inlineStr">
        <is>
          <t>Condicional</t>
        </is>
      </c>
      <c r="F55" s="4" t="inlineStr">
        <is>
          <t>Responsable técnico</t>
        </is>
      </c>
      <c r="G55" s="4" t="inlineStr">
        <is>
          <t>Texto</t>
        </is>
      </c>
      <c r="H55" s="4" t="inlineStr">
        <is>
          <t>Obligatorio si el destino es externo</t>
        </is>
      </c>
      <c r="I55" s="4" t="inlineStr"/>
      <c r="J55" s="4" t="inlineStr">
        <is>
          <t>Catálogo</t>
        </is>
      </c>
    </row>
    <row r="56">
      <c r="A56" s="4" t="inlineStr">
        <is>
          <t>Integraciones_Interfaces</t>
        </is>
      </c>
      <c r="B56" s="4" t="inlineStr">
        <is>
          <t>Criticidad</t>
        </is>
      </c>
      <c r="C56" s="4" t="inlineStr">
        <is>
          <t>Impacto de la falla de la integración.</t>
        </is>
      </c>
      <c r="D56" s="4" t="inlineStr">
        <is>
          <t>Institucional</t>
        </is>
      </c>
      <c r="E56" s="4" t="inlineStr">
        <is>
          <t>Obligatorio</t>
        </is>
      </c>
      <c r="F56" s="4" t="inlineStr">
        <is>
          <t>Responsable técnico</t>
        </is>
      </c>
      <c r="G56" s="4" t="inlineStr">
        <is>
          <t>Lista</t>
        </is>
      </c>
      <c r="H56" s="4" t="inlineStr">
        <is>
          <t>Alta, Media, Baja</t>
        </is>
      </c>
      <c r="I56" s="4" t="inlineStr"/>
      <c r="J56" s="4" t="inlineStr">
        <is>
          <t>Catálogo</t>
        </is>
      </c>
    </row>
    <row r="57">
      <c r="A57" s="4" t="inlineStr">
        <is>
          <t>Integraciones_Interfaces</t>
        </is>
      </c>
      <c r="B57" s="4" t="inlineStr">
        <is>
          <t>Frecuencia</t>
        </is>
      </c>
      <c r="C57" s="4" t="inlineStr">
        <is>
          <t>Frecuencia del intercambio.</t>
        </is>
      </c>
      <c r="D57" s="4" t="inlineStr">
        <is>
          <t>Institucional</t>
        </is>
      </c>
      <c r="E57" s="4" t="inlineStr">
        <is>
          <t>Recomendado</t>
        </is>
      </c>
      <c r="F57" s="4" t="inlineStr">
        <is>
          <t>Responsable técnico</t>
        </is>
      </c>
      <c r="G57" s="4" t="inlineStr">
        <is>
          <t>Lista</t>
        </is>
      </c>
      <c r="H57" s="4" t="inlineStr">
        <is>
          <t>Listas!Frecuencia</t>
        </is>
      </c>
      <c r="I57" s="4" t="inlineStr"/>
      <c r="J57" s="4" t="inlineStr">
        <is>
          <t>Catálogo</t>
        </is>
      </c>
    </row>
    <row r="58">
      <c r="A58" s="4" t="inlineStr">
        <is>
          <t>Integraciones_Interfaces</t>
        </is>
      </c>
      <c r="B58" s="4" t="inlineStr">
        <is>
          <t>Responsable_tecnico</t>
        </is>
      </c>
      <c r="C58" s="4" t="inlineStr">
        <is>
          <t>Responsable técnico de la integración.</t>
        </is>
      </c>
      <c r="D58" s="4" t="inlineStr">
        <is>
          <t>Institucional</t>
        </is>
      </c>
      <c r="E58" s="4" t="inlineStr">
        <is>
          <t>Recomendado</t>
        </is>
      </c>
      <c r="F58" s="4" t="inlineStr">
        <is>
          <t>Responsable técnico</t>
        </is>
      </c>
      <c r="G58" s="4" t="inlineStr">
        <is>
          <t>Texto</t>
        </is>
      </c>
      <c r="H58" s="4" t="inlineStr">
        <is>
          <t>No aplica</t>
        </is>
      </c>
      <c r="I58" s="4" t="inlineStr"/>
      <c r="J58" s="4" t="inlineStr">
        <is>
          <t>Catálogo</t>
        </is>
      </c>
    </row>
    <row r="59">
      <c r="A59" s="4" t="inlineStr">
        <is>
          <t>Integraciones_Interfaces</t>
        </is>
      </c>
      <c r="B59" s="4" t="inlineStr">
        <is>
          <t>Estado</t>
        </is>
      </c>
      <c r="C59" s="4" t="inlineStr">
        <is>
          <t>Estado operativo de la integración.</t>
        </is>
      </c>
      <c r="D59" s="4" t="inlineStr">
        <is>
          <t>Institucional</t>
        </is>
      </c>
      <c r="E59" s="4" t="inlineStr">
        <is>
          <t>Obligatorio</t>
        </is>
      </c>
      <c r="F59" s="4" t="inlineStr">
        <is>
          <t>Responsable técnico</t>
        </is>
      </c>
      <c r="G59" s="4" t="inlineStr">
        <is>
          <t>Lista</t>
        </is>
      </c>
      <c r="H59" s="4" t="inlineStr">
        <is>
          <t>Listas!Estado_Integracion_Componente</t>
        </is>
      </c>
      <c r="I59" s="4" t="inlineStr"/>
      <c r="J59" s="4" t="inlineStr">
        <is>
          <t>Catálogo</t>
        </is>
      </c>
    </row>
    <row r="60">
      <c r="A60" s="4" t="inlineStr">
        <is>
          <t>Integraciones_Interfaces</t>
        </is>
      </c>
      <c r="B60" s="4" t="inlineStr">
        <is>
          <t>Observaciones</t>
        </is>
      </c>
      <c r="C60" s="4" t="inlineStr">
        <is>
          <t>Notas relevantes.</t>
        </is>
      </c>
      <c r="D60" s="4" t="inlineStr">
        <is>
          <t>Institucional</t>
        </is>
      </c>
      <c r="E60" s="4" t="inlineStr">
        <is>
          <t>Opcional</t>
        </is>
      </c>
      <c r="F60" s="4" t="inlineStr">
        <is>
          <t>Responsable técnico</t>
        </is>
      </c>
      <c r="G60" s="4" t="inlineStr">
        <is>
          <t>Texto</t>
        </is>
      </c>
      <c r="H60" s="4" t="inlineStr">
        <is>
          <t>No aplica</t>
        </is>
      </c>
      <c r="I60" s="4" t="inlineStr"/>
      <c r="J60" s="4" t="inlineStr">
        <is>
          <t>Catálogo</t>
        </is>
      </c>
    </row>
    <row r="61">
      <c r="A61" s="4" t="inlineStr">
        <is>
          <t>Componentes</t>
        </is>
      </c>
      <c r="B61" s="4" t="inlineStr">
        <is>
          <t>ID_Componente</t>
        </is>
      </c>
      <c r="C61" s="4" t="inlineStr">
        <is>
          <t>Código único del componente (patrón CMP-####).</t>
        </is>
      </c>
      <c r="D61" s="4" t="inlineStr">
        <is>
          <t>Institucional</t>
        </is>
      </c>
      <c r="E61" s="4" t="inlineStr">
        <is>
          <t>Obligatorio</t>
        </is>
      </c>
      <c r="F61" s="4" t="inlineStr">
        <is>
          <t>OTIC</t>
        </is>
      </c>
      <c r="G61" s="4" t="inlineStr">
        <is>
          <t>Texto</t>
        </is>
      </c>
      <c r="H61" s="4" t="inlineStr">
        <is>
          <t>Patrón CMP-####</t>
        </is>
      </c>
      <c r="I61" s="4" t="inlineStr"/>
      <c r="J61" s="4" t="inlineStr">
        <is>
          <t>Catálogo</t>
        </is>
      </c>
    </row>
    <row r="62">
      <c r="A62" s="4" t="inlineStr">
        <is>
          <t>Componentes</t>
        </is>
      </c>
      <c r="B62" s="4" t="inlineStr">
        <is>
          <t>ID_SI_Padre</t>
        </is>
      </c>
      <c r="C62" s="4" t="inlineStr">
        <is>
          <t>ID del SI del catálogo al que pertenece el componente.</t>
        </is>
      </c>
      <c r="D62" s="4" t="inlineStr">
        <is>
          <t>Institucional</t>
        </is>
      </c>
      <c r="E62" s="4" t="inlineStr">
        <is>
          <t>Obligatorio</t>
        </is>
      </c>
      <c r="F62" s="4" t="inlineStr">
        <is>
          <t>Responsable técnico</t>
        </is>
      </c>
      <c r="G62" s="4" t="inlineStr">
        <is>
          <t>Texto</t>
        </is>
      </c>
      <c r="H62" s="4" t="inlineStr">
        <is>
          <t>Debe existir en Catálogo_SI</t>
        </is>
      </c>
      <c r="I62" s="4" t="inlineStr"/>
      <c r="J62" s="4" t="inlineStr">
        <is>
          <t>Catálogo</t>
        </is>
      </c>
    </row>
    <row r="63">
      <c r="A63" s="4" t="inlineStr">
        <is>
          <t>Componentes</t>
        </is>
      </c>
      <c r="B63" s="4" t="inlineStr">
        <is>
          <t>Nombre_Componente</t>
        </is>
      </c>
      <c r="C63" s="4" t="inlineStr">
        <is>
          <t>Nombre del componente.</t>
        </is>
      </c>
      <c r="D63" s="4" t="inlineStr">
        <is>
          <t>Institucional</t>
        </is>
      </c>
      <c r="E63" s="4" t="inlineStr">
        <is>
          <t>Obligatorio</t>
        </is>
      </c>
      <c r="F63" s="4" t="inlineStr">
        <is>
          <t>Responsable técnico</t>
        </is>
      </c>
      <c r="G63" s="4" t="inlineStr">
        <is>
          <t>Texto</t>
        </is>
      </c>
      <c r="H63" s="4" t="inlineStr">
        <is>
          <t>No aplica</t>
        </is>
      </c>
      <c r="I63" s="4" t="inlineStr"/>
      <c r="J63" s="4" t="inlineStr">
        <is>
          <t>Catálogo</t>
        </is>
      </c>
    </row>
    <row r="64">
      <c r="A64" s="4" t="inlineStr">
        <is>
          <t>Componentes</t>
        </is>
      </c>
      <c r="B64" s="4" t="inlineStr">
        <is>
          <t>Tipo_de_Componente</t>
        </is>
      </c>
      <c r="C64" s="4" t="inlineStr">
        <is>
          <t>Clase técnica del componente.</t>
        </is>
      </c>
      <c r="D64" s="4" t="inlineStr">
        <is>
          <t>Institucional (taxonomía Fase 1)</t>
        </is>
      </c>
      <c r="E64" s="4" t="inlineStr">
        <is>
          <t>Obligatorio</t>
        </is>
      </c>
      <c r="F64" s="4" t="inlineStr">
        <is>
          <t>Responsable técnico</t>
        </is>
      </c>
      <c r="G64" s="4" t="inlineStr">
        <is>
          <t>Lista</t>
        </is>
      </c>
      <c r="H64" s="4" t="inlineStr">
        <is>
          <t>Listas!Tipo_de_Componente</t>
        </is>
      </c>
      <c r="I64" s="4" t="inlineStr"/>
      <c r="J64" s="4" t="inlineStr">
        <is>
          <t>Catálogo</t>
        </is>
      </c>
    </row>
    <row r="65">
      <c r="A65" s="4" t="inlineStr">
        <is>
          <t>Componentes</t>
        </is>
      </c>
      <c r="B65" s="4" t="inlineStr">
        <is>
          <t>Funcion</t>
        </is>
      </c>
      <c r="C65" s="4" t="inlineStr">
        <is>
          <t>Función que cumple dentro del SI.</t>
        </is>
      </c>
      <c r="D65" s="4" t="inlineStr">
        <is>
          <t>Institucional</t>
        </is>
      </c>
      <c r="E65" s="4" t="inlineStr">
        <is>
          <t>Obligatorio</t>
        </is>
      </c>
      <c r="F65" s="4" t="inlineStr">
        <is>
          <t>Responsable técnico</t>
        </is>
      </c>
      <c r="G65" s="4" t="inlineStr">
        <is>
          <t>Texto corto</t>
        </is>
      </c>
      <c r="H65" s="4" t="inlineStr">
        <is>
          <t>No aplica</t>
        </is>
      </c>
      <c r="I65" s="4" t="inlineStr"/>
      <c r="J65" s="4" t="inlineStr">
        <is>
          <t>Catálogo</t>
        </is>
      </c>
    </row>
    <row r="66">
      <c r="A66" s="4" t="inlineStr">
        <is>
          <t>Componentes</t>
        </is>
      </c>
      <c r="B66" s="4" t="inlineStr">
        <is>
          <t>Compartido_con_otro_SI</t>
        </is>
      </c>
      <c r="C66" s="4" t="inlineStr">
        <is>
          <t>Indica si el componente es compartido por más de un SI.</t>
        </is>
      </c>
      <c r="D66" s="4" t="inlineStr">
        <is>
          <t>Institucional</t>
        </is>
      </c>
      <c r="E66" s="4" t="inlineStr">
        <is>
          <t>Obligatorio</t>
        </is>
      </c>
      <c r="F66" s="4" t="inlineStr">
        <is>
          <t>Responsable técnico</t>
        </is>
      </c>
      <c r="G66" s="4" t="inlineStr">
        <is>
          <t>Lista</t>
        </is>
      </c>
      <c r="H66" s="4" t="inlineStr">
        <is>
          <t>Sí / No</t>
        </is>
      </c>
      <c r="I66" s="4" t="inlineStr"/>
      <c r="J66" s="4" t="inlineStr">
        <is>
          <t>Catálogo</t>
        </is>
      </c>
    </row>
    <row r="67">
      <c r="A67" s="4" t="inlineStr">
        <is>
          <t>Componentes</t>
        </is>
      </c>
      <c r="B67" s="4" t="inlineStr">
        <is>
          <t>Estado</t>
        </is>
      </c>
      <c r="C67" s="4" t="inlineStr">
        <is>
          <t>Estado operativo del componente.</t>
        </is>
      </c>
      <c r="D67" s="4" t="inlineStr">
        <is>
          <t>Institucional</t>
        </is>
      </c>
      <c r="E67" s="4" t="inlineStr">
        <is>
          <t>Obligatorio</t>
        </is>
      </c>
      <c r="F67" s="4" t="inlineStr">
        <is>
          <t>Responsable técnico</t>
        </is>
      </c>
      <c r="G67" s="4" t="inlineStr">
        <is>
          <t>Lista</t>
        </is>
      </c>
      <c r="H67" s="4" t="inlineStr">
        <is>
          <t>Listas!Estado_Integracion_Componente</t>
        </is>
      </c>
      <c r="I67" s="4" t="inlineStr"/>
      <c r="J67" s="4" t="inlineStr">
        <is>
          <t>Catálogo</t>
        </is>
      </c>
    </row>
    <row r="68">
      <c r="A68" s="4" t="inlineStr">
        <is>
          <t>Componentes</t>
        </is>
      </c>
      <c r="B68" s="4" t="inlineStr">
        <is>
          <t>Version</t>
        </is>
      </c>
      <c r="C68" s="4" t="inlineStr">
        <is>
          <t>Versión del componente si aplica.</t>
        </is>
      </c>
      <c r="D68" s="4" t="inlineStr">
        <is>
          <t>Institucional</t>
        </is>
      </c>
      <c r="E68" s="4" t="inlineStr">
        <is>
          <t>Recomendado</t>
        </is>
      </c>
      <c r="F68" s="4" t="inlineStr">
        <is>
          <t>Responsable técnico</t>
        </is>
      </c>
      <c r="G68" s="4" t="inlineStr">
        <is>
          <t>Texto</t>
        </is>
      </c>
      <c r="H68" s="4" t="inlineStr">
        <is>
          <t>No aplica</t>
        </is>
      </c>
      <c r="I68" s="4" t="inlineStr"/>
      <c r="J68" s="4" t="inlineStr">
        <is>
          <t>Catálogo</t>
        </is>
      </c>
    </row>
    <row r="69">
      <c r="A69" s="4" t="inlineStr">
        <is>
          <t>Componentes</t>
        </is>
      </c>
      <c r="B69" s="4" t="inlineStr">
        <is>
          <t>Modelo_de_despliegue</t>
        </is>
      </c>
      <c r="C69" s="4" t="inlineStr">
        <is>
          <t>Modalidad de despliegue del componente.</t>
        </is>
      </c>
      <c r="D69" s="4" t="inlineStr">
        <is>
          <t>Institucional</t>
        </is>
      </c>
      <c r="E69" s="4" t="inlineStr">
        <is>
          <t>Recomendado</t>
        </is>
      </c>
      <c r="F69" s="4" t="inlineStr">
        <is>
          <t>Responsable técnico</t>
        </is>
      </c>
      <c r="G69" s="4" t="inlineStr">
        <is>
          <t>Lista</t>
        </is>
      </c>
      <c r="H69" s="4" t="inlineStr">
        <is>
          <t>Listas!Modelo_de_despliegue</t>
        </is>
      </c>
      <c r="I69" s="4" t="inlineStr"/>
      <c r="J69" s="4" t="inlineStr">
        <is>
          <t>Catálogo</t>
        </is>
      </c>
    </row>
    <row r="70">
      <c r="A70" s="4" t="inlineStr">
        <is>
          <t>Componentes</t>
        </is>
      </c>
      <c r="B70" s="4" t="inlineStr">
        <is>
          <t>Tecnologia_principal</t>
        </is>
      </c>
      <c r="C70" s="4" t="inlineStr">
        <is>
          <t>Tecnología, lenguaje o producto principal.</t>
        </is>
      </c>
      <c r="D70" s="4" t="inlineStr">
        <is>
          <t>Institucional</t>
        </is>
      </c>
      <c r="E70" s="4" t="inlineStr">
        <is>
          <t>Recomendado</t>
        </is>
      </c>
      <c r="F70" s="4" t="inlineStr">
        <is>
          <t>Responsable técnico</t>
        </is>
      </c>
      <c r="G70" s="4" t="inlineStr">
        <is>
          <t>Texto</t>
        </is>
      </c>
      <c r="H70" s="4" t="inlineStr">
        <is>
          <t>No aplica</t>
        </is>
      </c>
      <c r="I70" s="4" t="inlineStr"/>
      <c r="J70" s="4" t="inlineStr">
        <is>
          <t>Catálogo</t>
        </is>
      </c>
    </row>
    <row r="71">
      <c r="A71" s="4" t="inlineStr">
        <is>
          <t>Componentes</t>
        </is>
      </c>
      <c r="B71" s="4" t="inlineStr">
        <is>
          <t>Base_de_datos_asociada</t>
        </is>
      </c>
      <c r="C71" s="4" t="inlineStr">
        <is>
          <t>Motor o base de datos asociada si aplica.</t>
        </is>
      </c>
      <c r="D71" s="4" t="inlineStr">
        <is>
          <t>Institucional</t>
        </is>
      </c>
      <c r="E71" s="4" t="inlineStr">
        <is>
          <t>Condicional</t>
        </is>
      </c>
      <c r="F71" s="4" t="inlineStr">
        <is>
          <t>Responsable técnico</t>
        </is>
      </c>
      <c r="G71" s="4" t="inlineStr">
        <is>
          <t>Texto</t>
        </is>
      </c>
      <c r="H71" s="4" t="inlineStr">
        <is>
          <t>No aplica</t>
        </is>
      </c>
      <c r="I71" s="4" t="inlineStr"/>
      <c r="J71" s="4" t="inlineStr">
        <is>
          <t>Catálogo</t>
        </is>
      </c>
    </row>
    <row r="72">
      <c r="A72" s="4" t="inlineStr">
        <is>
          <t>Componentes</t>
        </is>
      </c>
      <c r="B72" s="4" t="inlineStr">
        <is>
          <t>Proveedor_o_Fabricante</t>
        </is>
      </c>
      <c r="C72" s="4" t="inlineStr">
        <is>
          <t>Proveedor o fabricante del componente.</t>
        </is>
      </c>
      <c r="D72" s="4" t="inlineStr">
        <is>
          <t>Institucional</t>
        </is>
      </c>
      <c r="E72" s="4" t="inlineStr">
        <is>
          <t>Recomendado</t>
        </is>
      </c>
      <c r="F72" s="4" t="inlineStr">
        <is>
          <t>Técnico / contratación</t>
        </is>
      </c>
      <c r="G72" s="4" t="inlineStr">
        <is>
          <t>Texto</t>
        </is>
      </c>
      <c r="H72" s="4" t="inlineStr">
        <is>
          <t>No aplica</t>
        </is>
      </c>
      <c r="I72" s="4" t="inlineStr"/>
      <c r="J72" s="4" t="inlineStr">
        <is>
          <t>Catálogo</t>
        </is>
      </c>
    </row>
    <row r="73">
      <c r="A73" s="4" t="inlineStr">
        <is>
          <t>Componentes</t>
        </is>
      </c>
      <c r="B73" s="4" t="inlineStr">
        <is>
          <t>Soporte_vigente_hasta</t>
        </is>
      </c>
      <c r="C73" s="4" t="inlineStr">
        <is>
          <t>Vencimiento de soporte del componente si aplica.</t>
        </is>
      </c>
      <c r="D73" s="4" t="inlineStr">
        <is>
          <t>Institucional</t>
        </is>
      </c>
      <c r="E73" s="4" t="inlineStr">
        <is>
          <t>Condicional</t>
        </is>
      </c>
      <c r="F73" s="4" t="inlineStr">
        <is>
          <t>Técnico / contratación</t>
        </is>
      </c>
      <c r="G73" s="4" t="inlineStr">
        <is>
          <t>Fecha</t>
        </is>
      </c>
      <c r="H73" s="4" t="inlineStr">
        <is>
          <t>DD/MM/AAAA</t>
        </is>
      </c>
      <c r="I73" s="4" t="inlineStr"/>
      <c r="J73" s="4" t="inlineStr">
        <is>
          <t>Catálogo</t>
        </is>
      </c>
    </row>
    <row r="74">
      <c r="A74" s="4" t="inlineStr">
        <is>
          <t>Componentes</t>
        </is>
      </c>
      <c r="B74" s="4" t="inlineStr">
        <is>
          <t>Criticidad</t>
        </is>
      </c>
      <c r="C74" s="4" t="inlineStr">
        <is>
          <t>Impacto de la falla del componente.</t>
        </is>
      </c>
      <c r="D74" s="4" t="inlineStr">
        <is>
          <t>Institucional</t>
        </is>
      </c>
      <c r="E74" s="4" t="inlineStr">
        <is>
          <t>Recomendado</t>
        </is>
      </c>
      <c r="F74" s="4" t="inlineStr">
        <is>
          <t>Responsable técnico</t>
        </is>
      </c>
      <c r="G74" s="4" t="inlineStr">
        <is>
          <t>Lista</t>
        </is>
      </c>
      <c r="H74" s="4" t="inlineStr">
        <is>
          <t>Alta, Media, Baja</t>
        </is>
      </c>
      <c r="I74" s="4" t="inlineStr"/>
      <c r="J74" s="4" t="inlineStr">
        <is>
          <t>Catálogo</t>
        </is>
      </c>
    </row>
    <row r="75">
      <c r="A75" s="4" t="inlineStr">
        <is>
          <t>Componentes</t>
        </is>
      </c>
      <c r="B75" s="4" t="inlineStr">
        <is>
          <t>Observaciones</t>
        </is>
      </c>
      <c r="C75" s="4" t="inlineStr">
        <is>
          <t>Notas relevantes.</t>
        </is>
      </c>
      <c r="D75" s="4" t="inlineStr">
        <is>
          <t>Institucional</t>
        </is>
      </c>
      <c r="E75" s="4" t="inlineStr">
        <is>
          <t>Opcional</t>
        </is>
      </c>
      <c r="F75" s="4" t="inlineStr">
        <is>
          <t>Responsable técnico</t>
        </is>
      </c>
      <c r="G75" s="4" t="inlineStr">
        <is>
          <t>Texto</t>
        </is>
      </c>
      <c r="H75" s="4" t="inlineStr">
        <is>
          <t>No aplica</t>
        </is>
      </c>
      <c r="I75" s="4" t="inlineStr"/>
      <c r="J75" s="4" t="inlineStr">
        <is>
          <t>Catálogo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30" customWidth="1" min="5" max="5"/>
    <col width="24" customWidth="1" min="6" max="6"/>
    <col width="24" customWidth="1" min="7" max="7"/>
    <col width="24" customWidth="1" min="8" max="8"/>
    <col width="24" customWidth="1" min="9" max="9"/>
    <col width="31" customWidth="1" min="10" max="10"/>
    <col width="26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7" customWidth="1" min="17" max="17"/>
    <col width="24" customWidth="1" min="18" max="18"/>
    <col width="29" customWidth="1" min="19" max="19"/>
    <col width="24" customWidth="1" min="20" max="20"/>
    <col width="24" customWidth="1" min="21" max="21"/>
    <col width="28" customWidth="1" min="22" max="22"/>
    <col width="24" customWidth="1" min="23" max="23"/>
    <col width="28" customWidth="1" min="24" max="24"/>
    <col width="24" customWidth="1" min="25" max="25"/>
    <col width="24" customWidth="1" min="26" max="26"/>
    <col width="29" customWidth="1" min="27" max="27"/>
    <col width="24" customWidth="1" min="28" max="28"/>
    <col width="24" customWidth="1" min="29" max="29"/>
    <col width="24" customWidth="1" min="30" max="30"/>
    <col width="24" customWidth="1" min="31" max="31"/>
  </cols>
  <sheetData>
    <row r="1">
      <c r="A1" s="3" t="inlineStr">
        <is>
          <t>Tipo_o_patron_de_SI</t>
        </is>
      </c>
      <c r="B1" s="3" t="inlineStr">
        <is>
          <t>Categoria_institucional</t>
        </is>
      </c>
      <c r="C1" s="3" t="inlineStr">
        <is>
          <t>Estado_del_SI</t>
        </is>
      </c>
      <c r="D1" s="3" t="inlineStr">
        <is>
          <t>Modelo_de_despliegue</t>
        </is>
      </c>
      <c r="E1" s="3" t="inlineStr">
        <is>
          <t>Tipo_de_desarrollo_adquisicion</t>
        </is>
      </c>
      <c r="F1" s="3" t="inlineStr">
        <is>
          <t>Tipo_de_licenciamiento</t>
        </is>
      </c>
      <c r="G1" s="3" t="inlineStr">
        <is>
          <t>Estado_ANS_terceros</t>
        </is>
      </c>
      <c r="H1" s="3" t="inlineStr">
        <is>
          <t>Criticidad_operacional</t>
        </is>
      </c>
      <c r="I1" s="3" t="inlineStr">
        <is>
          <t>Cobertura_del_proceso</t>
        </is>
      </c>
      <c r="J1" s="3" t="inlineStr">
        <is>
          <t>Clasificacion_de_la_informacion</t>
        </is>
      </c>
      <c r="K1" s="3" t="inlineStr">
        <is>
          <t>Manejo_de_datos_personales</t>
        </is>
      </c>
      <c r="L1" s="3" t="inlineStr">
        <is>
          <t>Si_No</t>
        </is>
      </c>
      <c r="M1" s="3" t="inlineStr">
        <is>
          <t>Backup_definido</t>
        </is>
      </c>
      <c r="N1" s="3" t="inlineStr">
        <is>
          <t>Valoracion_de_seguridad</t>
        </is>
      </c>
      <c r="O1" s="3" t="inlineStr">
        <is>
          <t>Nivel_de_riesgo_residual</t>
        </is>
      </c>
      <c r="P1" s="3" t="inlineStr">
        <is>
          <t>Plan_de_continuidad</t>
        </is>
      </c>
      <c r="Q1" s="3" t="inlineStr">
        <is>
          <t>Estado_documentacion_minima</t>
        </is>
      </c>
      <c r="R1" s="3" t="inlineStr">
        <is>
          <t>Clasificacion_TIME</t>
        </is>
      </c>
      <c r="S1" s="3" t="inlineStr">
        <is>
          <t>Tipo_intervencion_recomendada</t>
        </is>
      </c>
      <c r="T1" s="3" t="inlineStr">
        <is>
          <t>Prioridad_intervencion</t>
        </is>
      </c>
      <c r="U1" s="3" t="inlineStr">
        <is>
          <t>Vigencia_del_registro</t>
        </is>
      </c>
      <c r="V1" s="3" t="inlineStr">
        <is>
          <t>Dependencias_institucionales</t>
        </is>
      </c>
      <c r="W1" s="3" t="inlineStr">
        <is>
          <t>Tipo_de_registro</t>
        </is>
      </c>
      <c r="X1" s="3" t="inlineStr">
        <is>
          <t>Tipo_de_interfaz_o_mecanismo</t>
        </is>
      </c>
      <c r="Y1" s="3" t="inlineStr">
        <is>
          <t>Direccion_del_flujo</t>
        </is>
      </c>
      <c r="Z1" s="3" t="inlineStr">
        <is>
          <t>Frecuencia</t>
        </is>
      </c>
      <c r="AA1" s="3" t="inlineStr">
        <is>
          <t>Estado_Integracion_Componente</t>
        </is>
      </c>
      <c r="AB1" s="3" t="inlineStr">
        <is>
          <t>Criticidad</t>
        </is>
      </c>
      <c r="AC1" s="3" t="inlineStr">
        <is>
          <t>Tipo_de_Componente</t>
        </is>
      </c>
      <c r="AD1" s="3" t="inlineStr">
        <is>
          <t>Tipo_de_hallazgo</t>
        </is>
      </c>
      <c r="AE1" s="3" t="inlineStr">
        <is>
          <t>Estado_hallazgo</t>
        </is>
      </c>
    </row>
    <row r="2">
      <c r="A2" s="5" t="inlineStr">
        <is>
          <t>Sistema transaccional</t>
        </is>
      </c>
      <c r="B2" s="5" t="inlineStr">
        <is>
          <t>Misional</t>
        </is>
      </c>
      <c r="C2" s="5" t="inlineStr">
        <is>
          <t>Activo</t>
        </is>
      </c>
      <c r="D2" s="5" t="inlineStr">
        <is>
          <t>On-premises</t>
        </is>
      </c>
      <c r="E2" s="5" t="inlineStr">
        <is>
          <t>Propio</t>
        </is>
      </c>
      <c r="F2" s="5" t="inlineStr">
        <is>
          <t>Perpetuo</t>
        </is>
      </c>
      <c r="G2" s="5" t="inlineStr">
        <is>
          <t>Vigente</t>
        </is>
      </c>
      <c r="H2" s="5" t="inlineStr">
        <is>
          <t>Alta</t>
        </is>
      </c>
      <c r="I2" s="5" t="inlineStr">
        <is>
          <t>Alto</t>
        </is>
      </c>
      <c r="J2" s="5" t="inlineStr">
        <is>
          <t>Pública</t>
        </is>
      </c>
      <c r="K2" s="5" t="inlineStr">
        <is>
          <t>Sí - responsable</t>
        </is>
      </c>
      <c r="L2" s="5" t="inlineStr">
        <is>
          <t>Sí</t>
        </is>
      </c>
      <c r="M2" s="5" t="inlineStr">
        <is>
          <t>Sí</t>
        </is>
      </c>
      <c r="N2" s="5" t="inlineStr">
        <is>
          <t>Vigente</t>
        </is>
      </c>
      <c r="O2" s="5" t="inlineStr">
        <is>
          <t>Alto</t>
        </is>
      </c>
      <c r="P2" s="5" t="inlineStr">
        <is>
          <t>Vigente</t>
        </is>
      </c>
      <c r="Q2" s="5" t="inlineStr">
        <is>
          <t>Completa</t>
        </is>
      </c>
      <c r="R2" s="5" t="inlineStr">
        <is>
          <t>T</t>
        </is>
      </c>
      <c r="S2" s="5" t="inlineStr">
        <is>
          <t>Modernizar</t>
        </is>
      </c>
      <c r="T2" s="5" t="inlineStr">
        <is>
          <t>Alta</t>
        </is>
      </c>
      <c r="U2" s="5" t="inlineStr">
        <is>
          <t>Vigente</t>
        </is>
      </c>
      <c r="V2" s="5" t="inlineStr">
        <is>
          <t>(Diligenciar con el listado oficial de dependencias del Ministerio)</t>
        </is>
      </c>
      <c r="W2" s="5" t="inlineStr">
        <is>
          <t>Integración</t>
        </is>
      </c>
      <c r="X2" s="5" t="inlineStr">
        <is>
          <t>API REST</t>
        </is>
      </c>
      <c r="Y2" s="5" t="inlineStr">
        <is>
          <t>Entrada</t>
        </is>
      </c>
      <c r="Z2" s="5" t="inlineStr">
        <is>
          <t>Tiempo real</t>
        </is>
      </c>
      <c r="AA2" s="5" t="inlineStr">
        <is>
          <t>Activa</t>
        </is>
      </c>
      <c r="AB2" s="5" t="inlineStr">
        <is>
          <t>Alta</t>
        </is>
      </c>
      <c r="AC2" s="5" t="inlineStr">
        <is>
          <t>Módulo funcional</t>
        </is>
      </c>
      <c r="AD2" s="5" t="inlineStr">
        <is>
          <t>Completitud</t>
        </is>
      </c>
      <c r="AE2" s="5" t="inlineStr">
        <is>
          <t>Abierto</t>
        </is>
      </c>
    </row>
    <row r="3">
      <c r="A3" s="5" t="inlineStr">
        <is>
          <t>ERP</t>
        </is>
      </c>
      <c r="B3" s="5" t="inlineStr">
        <is>
          <t>Estratégica</t>
        </is>
      </c>
      <c r="C3" s="5" t="inlineStr">
        <is>
          <t>En desarrollo</t>
        </is>
      </c>
      <c r="D3" s="5" t="inlineStr">
        <is>
          <t>Nube pública</t>
        </is>
      </c>
      <c r="E3" s="5" t="inlineStr">
        <is>
          <t>A la medida</t>
        </is>
      </c>
      <c r="F3" s="5" t="inlineStr">
        <is>
          <t>Suscripción</t>
        </is>
      </c>
      <c r="G3" s="5" t="inlineStr">
        <is>
          <t>Vencido</t>
        </is>
      </c>
      <c r="H3" s="5" t="inlineStr">
        <is>
          <t>Media</t>
        </is>
      </c>
      <c r="I3" s="5" t="inlineStr">
        <is>
          <t>Medio</t>
        </is>
      </c>
      <c r="J3" s="5" t="inlineStr">
        <is>
          <t>Uso interno</t>
        </is>
      </c>
      <c r="K3" s="5" t="inlineStr">
        <is>
          <t>Sí - encargado</t>
        </is>
      </c>
      <c r="L3" s="5" t="inlineStr">
        <is>
          <t>No</t>
        </is>
      </c>
      <c r="M3" s="5" t="inlineStr">
        <is>
          <t>No</t>
        </is>
      </c>
      <c r="N3" s="5" t="inlineStr">
        <is>
          <t>Desactualizada</t>
        </is>
      </c>
      <c r="O3" s="5" t="inlineStr">
        <is>
          <t>Medio</t>
        </is>
      </c>
      <c r="P3" s="5" t="inlineStr">
        <is>
          <t>Desactualizado</t>
        </is>
      </c>
      <c r="Q3" s="5" t="inlineStr">
        <is>
          <t>Parcial</t>
        </is>
      </c>
      <c r="R3" s="5" t="inlineStr">
        <is>
          <t>I</t>
        </is>
      </c>
      <c r="S3" s="5" t="inlineStr">
        <is>
          <t>Migrar</t>
        </is>
      </c>
      <c r="T3" s="5" t="inlineStr">
        <is>
          <t>Media</t>
        </is>
      </c>
      <c r="U3" s="5" t="inlineStr">
        <is>
          <t>Histórico</t>
        </is>
      </c>
      <c r="W3" s="5" t="inlineStr">
        <is>
          <t>Interfaz expuesta</t>
        </is>
      </c>
      <c r="X3" s="5" t="inlineStr">
        <is>
          <t>API SOAP / servicio web</t>
        </is>
      </c>
      <c r="Y3" s="5" t="inlineStr">
        <is>
          <t>Salida</t>
        </is>
      </c>
      <c r="Z3" s="5" t="inlineStr">
        <is>
          <t>Diaria</t>
        </is>
      </c>
      <c r="AA3" s="5" t="inlineStr">
        <is>
          <t>Inactiva</t>
        </is>
      </c>
      <c r="AB3" s="5" t="inlineStr">
        <is>
          <t>Media</t>
        </is>
      </c>
      <c r="AC3" s="5" t="inlineStr">
        <is>
          <t>Microservicio</t>
        </is>
      </c>
      <c r="AD3" s="5" t="inlineStr">
        <is>
          <t>Vocabulario</t>
        </is>
      </c>
      <c r="AE3" s="5" t="inlineStr">
        <is>
          <t>En curso</t>
        </is>
      </c>
    </row>
    <row r="4">
      <c r="A4" s="5" t="inlineStr">
        <is>
          <t>CRM</t>
        </is>
      </c>
      <c r="B4" s="5" t="inlineStr">
        <is>
          <t>Apoyo</t>
        </is>
      </c>
      <c r="C4" s="5" t="inlineStr">
        <is>
          <t>En mantenimiento</t>
        </is>
      </c>
      <c r="D4" s="5" t="inlineStr">
        <is>
          <t>Nube privada</t>
        </is>
      </c>
      <c r="E4" s="5" t="inlineStr">
        <is>
          <t>COTS</t>
        </is>
      </c>
      <c r="F4" s="5" t="inlineStr">
        <is>
          <t>Open source</t>
        </is>
      </c>
      <c r="G4" s="5" t="inlineStr">
        <is>
          <t>En negociación</t>
        </is>
      </c>
      <c r="H4" s="5" t="inlineStr">
        <is>
          <t>Baja</t>
        </is>
      </c>
      <c r="I4" s="5" t="inlineStr">
        <is>
          <t>Bajo</t>
        </is>
      </c>
      <c r="J4" s="5" t="inlineStr">
        <is>
          <t>Reservada</t>
        </is>
      </c>
      <c r="K4" s="5" t="inlineStr">
        <is>
          <t>No</t>
        </is>
      </c>
      <c r="M4" s="5" t="inlineStr">
        <is>
          <t>Desconocido</t>
        </is>
      </c>
      <c r="N4" s="5" t="inlineStr">
        <is>
          <t>No realizada</t>
        </is>
      </c>
      <c r="O4" s="5" t="inlineStr">
        <is>
          <t>Bajo</t>
        </is>
      </c>
      <c r="P4" s="5" t="inlineStr">
        <is>
          <t>No existe</t>
        </is>
      </c>
      <c r="Q4" s="5" t="inlineStr">
        <is>
          <t>Crítica</t>
        </is>
      </c>
      <c r="R4" s="5" t="inlineStr">
        <is>
          <t>M</t>
        </is>
      </c>
      <c r="S4" s="5" t="inlineStr">
        <is>
          <t>Retirar</t>
        </is>
      </c>
      <c r="T4" s="5" t="inlineStr">
        <is>
          <t>Baja</t>
        </is>
      </c>
      <c r="W4" s="5" t="inlineStr">
        <is>
          <t>Interfaz consumida</t>
        </is>
      </c>
      <c r="X4" s="5" t="inlineStr">
        <is>
          <t>Archivo plano</t>
        </is>
      </c>
      <c r="Y4" s="5" t="inlineStr">
        <is>
          <t>Bidireccional</t>
        </is>
      </c>
      <c r="Z4" s="5" t="inlineStr">
        <is>
          <t>Semanal</t>
        </is>
      </c>
      <c r="AA4" s="5" t="inlineStr">
        <is>
          <t>En construcción</t>
        </is>
      </c>
      <c r="AB4" s="5" t="inlineStr">
        <is>
          <t>Baja</t>
        </is>
      </c>
      <c r="AC4" s="5" t="inlineStr">
        <is>
          <t>API interna</t>
        </is>
      </c>
      <c r="AD4" s="5" t="inlineStr">
        <is>
          <t>Consistencia entre hojas</t>
        </is>
      </c>
      <c r="AE4" s="5" t="inlineStr">
        <is>
          <t>Cerrado</t>
        </is>
      </c>
    </row>
    <row r="5">
      <c r="A5" s="5" t="inlineStr">
        <is>
          <t>BPM / BPMS</t>
        </is>
      </c>
      <c r="B5" s="5" t="inlineStr">
        <is>
          <t>Evaluación y control</t>
        </is>
      </c>
      <c r="C5" s="5" t="inlineStr">
        <is>
          <t>En migración</t>
        </is>
      </c>
      <c r="D5" s="5" t="inlineStr">
        <is>
          <t>Híbrida</t>
        </is>
      </c>
      <c r="E5" s="5" t="inlineStr">
        <is>
          <t>Open source</t>
        </is>
      </c>
      <c r="F5" s="5" t="inlineStr">
        <is>
          <t>Incluido en servicio</t>
        </is>
      </c>
      <c r="G5" s="5" t="inlineStr">
        <is>
          <t>No aplica</t>
        </is>
      </c>
      <c r="I5" s="5" t="inlineStr">
        <is>
          <t>No evaluado</t>
        </is>
      </c>
      <c r="J5" s="5" t="inlineStr">
        <is>
          <t>Clasificada</t>
        </is>
      </c>
      <c r="O5" s="5" t="inlineStr">
        <is>
          <t>No evaluado</t>
        </is>
      </c>
      <c r="Q5" s="5" t="inlineStr">
        <is>
          <t>No evaluada</t>
        </is>
      </c>
      <c r="R5" s="5" t="inlineStr">
        <is>
          <t>E</t>
        </is>
      </c>
      <c r="S5" s="5" t="inlineStr">
        <is>
          <t>Sostener</t>
        </is>
      </c>
      <c r="X5" s="5" t="inlineStr">
        <is>
          <t>Conexión a base de datos</t>
        </is>
      </c>
      <c r="Z5" s="5" t="inlineStr">
        <is>
          <t>Mensual</t>
        </is>
      </c>
      <c r="AA5" s="5" t="inlineStr">
        <is>
          <t>Retirada</t>
        </is>
      </c>
      <c r="AC5" s="5" t="inlineStr">
        <is>
          <t>Servicio web</t>
        </is>
      </c>
      <c r="AD5" s="5" t="inlineStr">
        <is>
          <t>Vigencia (soporte/seguridad/continuidad)</t>
        </is>
      </c>
    </row>
    <row r="6">
      <c r="A6" s="5" t="inlineStr">
        <is>
          <t>CMS</t>
        </is>
      </c>
      <c r="B6" s="5" t="inlineStr">
        <is>
          <t>Otro</t>
        </is>
      </c>
      <c r="C6" s="5" t="inlineStr">
        <is>
          <t>Deprecado</t>
        </is>
      </c>
      <c r="D6" s="5" t="inlineStr">
        <is>
          <t>SaaS</t>
        </is>
      </c>
      <c r="E6" s="5" t="inlineStr">
        <is>
          <t>SaaS</t>
        </is>
      </c>
      <c r="F6" s="5" t="inlineStr">
        <is>
          <t>Sin licenciamiento</t>
        </is>
      </c>
      <c r="S6" s="5" t="inlineStr">
        <is>
          <t>Optimizar</t>
        </is>
      </c>
      <c r="X6" s="5" t="inlineStr">
        <is>
          <t>Mensajería / cola</t>
        </is>
      </c>
      <c r="Z6" s="5" t="inlineStr">
        <is>
          <t>Por demanda</t>
        </is>
      </c>
      <c r="AC6" s="5" t="inlineStr">
        <is>
          <t>Base de datos</t>
        </is>
      </c>
      <c r="AD6" s="5" t="inlineStr">
        <is>
          <t>Migración</t>
        </is>
      </c>
    </row>
    <row r="7">
      <c r="A7" s="5" t="inlineStr">
        <is>
          <t>Sistema de Gestión Documental</t>
        </is>
      </c>
      <c r="C7" s="5" t="inlineStr">
        <is>
          <t>Retirado</t>
        </is>
      </c>
      <c r="D7" s="5" t="inlineStr">
        <is>
          <t>PaaS</t>
        </is>
      </c>
      <c r="E7" s="5" t="inlineStr">
        <is>
          <t>Híbrido</t>
        </is>
      </c>
      <c r="F7" s="5" t="inlineStr">
        <is>
          <t>Otro</t>
        </is>
      </c>
      <c r="X7" s="5" t="inlineStr">
        <is>
          <t>ETL</t>
        </is>
      </c>
      <c r="Z7" s="5" t="inlineStr">
        <is>
          <t>Otra</t>
        </is>
      </c>
      <c r="AC7" s="5" t="inlineStr">
        <is>
          <t>Batch / job programado</t>
        </is>
      </c>
      <c r="AD7" s="5" t="inlineStr">
        <is>
          <t>Otro</t>
        </is>
      </c>
    </row>
    <row r="8">
      <c r="A8" s="5" t="inlineStr">
        <is>
          <t>GIS</t>
        </is>
      </c>
      <c r="E8" s="5" t="inlineStr">
        <is>
          <t>Legado</t>
        </is>
      </c>
      <c r="X8" s="5" t="inlineStr">
        <is>
          <t>Bus de integración / iPaaS</t>
        </is>
      </c>
      <c r="AC8" s="5" t="inlineStr">
        <is>
          <t>Portal / frontend</t>
        </is>
      </c>
    </row>
    <row r="9">
      <c r="A9" s="5" t="inlineStr">
        <is>
          <t>Solución analítica</t>
        </is>
      </c>
      <c r="X9" s="5" t="inlineStr">
        <is>
          <t>Otro</t>
        </is>
      </c>
      <c r="AC9" s="5" t="inlineStr">
        <is>
          <t>Middleware</t>
        </is>
      </c>
    </row>
    <row r="10">
      <c r="A10" s="5" t="inlineStr">
        <is>
          <t>Otro SI institucional</t>
        </is>
      </c>
      <c r="AC10" s="5" t="inlineStr">
        <is>
          <t>Otro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</cols>
  <sheetData>
    <row r="1">
      <c r="A1" s="6" t="inlineStr">
        <is>
          <t>TABLERO GERENCIAL — F-A-GTI-02 Catálogo Institucional de Sistemas de Información</t>
        </is>
      </c>
    </row>
    <row r="3">
      <c r="A3" s="6" t="inlineStr">
        <is>
          <t>1. Tamaño del portafolio</t>
        </is>
      </c>
    </row>
    <row r="4">
      <c r="A4" s="5" t="inlineStr">
        <is>
          <t>SI vigentes</t>
        </is>
      </c>
      <c r="B4" s="7">
        <f>COUNTIF('Catálogo_SI'!$AR:$AR,"Vigente")</f>
        <v/>
      </c>
    </row>
    <row r="5">
      <c r="A5" s="5" t="inlineStr">
        <is>
          <t>SI históricos</t>
        </is>
      </c>
      <c r="B5" s="7">
        <f>COUNTIF('Catálogo_SI'!$AR:$AR,"Histórico")</f>
        <v/>
      </c>
    </row>
    <row r="6">
      <c r="A6" s="5" t="inlineStr">
        <is>
          <t>Total de registros</t>
        </is>
      </c>
      <c r="B6" s="7">
        <f>COUNTA('Catálogo_SI'!$A:$A)-1</f>
        <v/>
      </c>
    </row>
    <row r="8">
      <c r="A8" s="6" t="inlineStr">
        <is>
          <t>2. SI por tipo o patrón</t>
        </is>
      </c>
    </row>
    <row r="9">
      <c r="A9" s="5" t="inlineStr">
        <is>
          <t>Sistema transaccional</t>
        </is>
      </c>
      <c r="B9" s="7">
        <f>COUNTIF('Catálogo_SI'!$D:$D,"Sistema transaccional")</f>
        <v/>
      </c>
    </row>
    <row r="10">
      <c r="A10" s="5" t="inlineStr">
        <is>
          <t>ERP</t>
        </is>
      </c>
      <c r="B10" s="7">
        <f>COUNTIF('Catálogo_SI'!$D:$D,"ERP")</f>
        <v/>
      </c>
    </row>
    <row r="11">
      <c r="A11" s="5" t="inlineStr">
        <is>
          <t>CRM</t>
        </is>
      </c>
      <c r="B11" s="7">
        <f>COUNTIF('Catálogo_SI'!$D:$D,"CRM")</f>
        <v/>
      </c>
    </row>
    <row r="12">
      <c r="A12" s="5" t="inlineStr">
        <is>
          <t>BPM / BPMS</t>
        </is>
      </c>
      <c r="B12" s="7">
        <f>COUNTIF('Catálogo_SI'!$D:$D,"BPM / BPMS")</f>
        <v/>
      </c>
    </row>
    <row r="13">
      <c r="A13" s="5" t="inlineStr">
        <is>
          <t>CMS</t>
        </is>
      </c>
      <c r="B13" s="7">
        <f>COUNTIF('Catálogo_SI'!$D:$D,"CMS")</f>
        <v/>
      </c>
    </row>
    <row r="14">
      <c r="A14" s="5" t="inlineStr">
        <is>
          <t>Sistema de Gestión Documental</t>
        </is>
      </c>
      <c r="B14" s="7">
        <f>COUNTIF('Catálogo_SI'!$D:$D,"Sistema de Gestión Documental")</f>
        <v/>
      </c>
    </row>
    <row r="15">
      <c r="A15" s="5" t="inlineStr">
        <is>
          <t>GIS</t>
        </is>
      </c>
      <c r="B15" s="7">
        <f>COUNTIF('Catálogo_SI'!$D:$D,"GIS")</f>
        <v/>
      </c>
    </row>
    <row r="16">
      <c r="A16" s="5" t="inlineStr">
        <is>
          <t>Solución analítica</t>
        </is>
      </c>
      <c r="B16" s="7">
        <f>COUNTIF('Catálogo_SI'!$D:$D,"Solución analítica")</f>
        <v/>
      </c>
    </row>
    <row r="17">
      <c r="A17" s="5" t="inlineStr">
        <is>
          <t>Otro SI institucional</t>
        </is>
      </c>
      <c r="B17" s="7">
        <f>COUNTIF('Catálogo_SI'!$D:$D,"Otro SI institucional")</f>
        <v/>
      </c>
    </row>
    <row r="19">
      <c r="A19" s="6" t="inlineStr">
        <is>
          <t>3. SI por categoría institucional</t>
        </is>
      </c>
    </row>
    <row r="20">
      <c r="A20" s="5" t="inlineStr">
        <is>
          <t>Misional</t>
        </is>
      </c>
      <c r="B20" s="7">
        <f>COUNTIF('Catálogo_SI'!$E:$E,"Misional")</f>
        <v/>
      </c>
    </row>
    <row r="21">
      <c r="A21" s="5" t="inlineStr">
        <is>
          <t>Estratégica</t>
        </is>
      </c>
      <c r="B21" s="7">
        <f>COUNTIF('Catálogo_SI'!$E:$E,"Estratégica")</f>
        <v/>
      </c>
    </row>
    <row r="22">
      <c r="A22" s="5" t="inlineStr">
        <is>
          <t>Apoyo</t>
        </is>
      </c>
      <c r="B22" s="7">
        <f>COUNTIF('Catálogo_SI'!$E:$E,"Apoyo")</f>
        <v/>
      </c>
    </row>
    <row r="23">
      <c r="A23" s="5" t="inlineStr">
        <is>
          <t>Evaluación y control</t>
        </is>
      </c>
      <c r="B23" s="7">
        <f>COUNTIF('Catálogo_SI'!$E:$E,"Evaluación y control")</f>
        <v/>
      </c>
    </row>
    <row r="24">
      <c r="A24" s="5" t="inlineStr">
        <is>
          <t>Otro</t>
        </is>
      </c>
      <c r="B24" s="7">
        <f>COUNTIF('Catálogo_SI'!$E:$E,"Otro")</f>
        <v/>
      </c>
    </row>
    <row r="26">
      <c r="A26" s="6" t="inlineStr">
        <is>
          <t>4. TIME del portafolio (marco complementario institucional)</t>
        </is>
      </c>
    </row>
    <row r="27">
      <c r="A27" s="5" t="inlineStr">
        <is>
          <t>Tolerate — Tolerar</t>
        </is>
      </c>
      <c r="B27" s="7">
        <f>COUNTIF('Catálogo_SI'!$AK:$AK,"T")</f>
        <v/>
      </c>
    </row>
    <row r="28">
      <c r="A28" s="5" t="inlineStr">
        <is>
          <t>Invest — Invertir</t>
        </is>
      </c>
      <c r="B28" s="7">
        <f>COUNTIF('Catálogo_SI'!$AK:$AK,"I")</f>
        <v/>
      </c>
    </row>
    <row r="29">
      <c r="A29" s="5" t="inlineStr">
        <is>
          <t>Migrate — Migrar</t>
        </is>
      </c>
      <c r="B29" s="7">
        <f>COUNTIF('Catálogo_SI'!$AK:$AK,"M")</f>
        <v/>
      </c>
    </row>
    <row r="30">
      <c r="A30" s="5" t="inlineStr">
        <is>
          <t>Eliminate — Eliminar</t>
        </is>
      </c>
      <c r="B30" s="7">
        <f>COUNTIF('Catálogo_SI'!$AK:$AK,"E")</f>
        <v/>
      </c>
    </row>
    <row r="32">
      <c r="A32" s="6" t="inlineStr">
        <is>
          <t>5. Alertas de soporte</t>
        </is>
      </c>
    </row>
    <row r="33">
      <c r="A33" s="5" t="inlineStr">
        <is>
          <t>SI con soporte vencido</t>
        </is>
      </c>
      <c r="B33" s="7">
        <f>COUNTIFS('Catálogo_SI'!$T:$T,"&lt;"&amp;TODAY(),'Catálogo_SI'!$T:$T,"&lt;&gt;")</f>
        <v/>
      </c>
    </row>
    <row r="34">
      <c r="A34" s="5" t="inlineStr">
        <is>
          <t>SI con soporte por vencer (90 días)</t>
        </is>
      </c>
      <c r="B34" s="7">
        <f>COUNTIFS('Catálogo_SI'!$T:$T,"&gt;="&amp;TODAY(),'Catálogo_SI'!$T:$T,"&lt;="&amp;TODAY()+90)</f>
        <v/>
      </c>
    </row>
    <row r="36">
      <c r="A36" s="6" t="inlineStr">
        <is>
          <t>6. Dimensión económica</t>
        </is>
      </c>
    </row>
    <row r="37">
      <c r="A37" s="5" t="inlineStr">
        <is>
          <t>TCO total anual del portafolio (COP)</t>
        </is>
      </c>
      <c r="B37" s="7">
        <f>SUM('Catálogo_SI'!$AN:$AN)</f>
        <v/>
      </c>
    </row>
    <row r="38">
      <c r="A38" s="5" t="inlineStr">
        <is>
          <t>TCO promedio por SI (COP)</t>
        </is>
      </c>
      <c r="B38" s="7">
        <f>IFERROR(ROUND(AVERAGE('Catálogo_SI'!$AN:$AN),0),0)</f>
        <v/>
      </c>
    </row>
    <row r="40">
      <c r="A40" s="6" t="inlineStr">
        <is>
          <t>7. Alertas de seguridad, continuidad y documentación</t>
        </is>
      </c>
    </row>
    <row r="41">
      <c r="A41" s="5" t="inlineStr">
        <is>
          <t>SI con valoración de seguridad desactualizada</t>
        </is>
      </c>
      <c r="B41" s="7">
        <f>COUNTIF('Catálogo_SI'!$AF:$AF,"Desactualizada")</f>
        <v/>
      </c>
    </row>
    <row r="42">
      <c r="A42" s="5" t="inlineStr">
        <is>
          <t>SI sin valoración de seguridad realizada</t>
        </is>
      </c>
      <c r="B42" s="7">
        <f>COUNTIF('Catálogo_SI'!$AF:$AF,"No realizada")</f>
        <v/>
      </c>
    </row>
    <row r="43">
      <c r="A43" s="5" t="inlineStr">
        <is>
          <t>SI sin plan de continuidad vigente</t>
        </is>
      </c>
      <c r="B43" s="7">
        <f>COUNTIF('Catálogo_SI'!$AI:$AI,"Desactualizado")+COUNTIF('Catálogo_SI'!$AI:$AI,"No existe")</f>
        <v/>
      </c>
    </row>
    <row r="44">
      <c r="A44" s="5" t="inlineStr">
        <is>
          <t>SI con documentación crítica</t>
        </is>
      </c>
      <c r="B44" s="7">
        <f>COUNTIF('Catálogo_SI'!$AJ:$AJ,"Crítica")</f>
        <v/>
      </c>
    </row>
    <row r="45">
      <c r="A45" s="5" t="inlineStr">
        <is>
          <t>SI sin backup definido o desconocido</t>
        </is>
      </c>
      <c r="B45" s="7">
        <f>COUNTIF('Catálogo_SI'!$AH:$AH,"No")+COUNTIF('Catálogo_SI'!$AH:$AH,"Desconocido")</f>
        <v/>
      </c>
    </row>
    <row r="47">
      <c r="A47" s="6" t="inlineStr">
        <is>
          <t>8. Revisiones</t>
        </is>
      </c>
    </row>
    <row r="48">
      <c r="A48" s="5" t="inlineStr">
        <is>
          <t>Revisiones programadas próximos 90 días</t>
        </is>
      </c>
      <c r="B48" s="7">
        <f>COUNTIFS('Catálogo_SI'!$AQ:$AQ,"&gt;="&amp;TODAY(),'Catálogo_SI'!$AQ:$AQ,"&lt;="&amp;TODAY()+90)</f>
        <v/>
      </c>
    </row>
    <row r="49">
      <c r="A49" s="5" t="inlineStr">
        <is>
          <t>Revisiones programadas vencidas</t>
        </is>
      </c>
      <c r="B49" s="7">
        <f>COUNTIFS('Catálogo_SI'!$AQ:$AQ,"&lt;"&amp;TODAY(),'Catálogo_SI'!$AQ:$AQ,"&lt;&gt;",'Catálogo_SI'!$AR:$AR,"Vigente")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4" customWidth="1" min="4" max="4"/>
    <col width="14" customWidth="1" min="5" max="5"/>
    <col width="14" customWidth="1" min="6" max="6"/>
    <col width="22" customWidth="1" min="7" max="7"/>
    <col width="24" customWidth="1" min="8" max="8"/>
    <col width="40" customWidth="1" min="9" max="9"/>
    <col width="14" customWidth="1" min="10" max="10"/>
    <col width="22" customWidth="1" min="11" max="11"/>
    <col width="16" customWidth="1" min="12" max="12"/>
    <col width="14" customWidth="1" min="13" max="13"/>
    <col width="40" customWidth="1" min="14" max="14"/>
  </cols>
  <sheetData>
    <row r="1">
      <c r="A1" s="6" t="inlineStr">
        <is>
          <t>A. Completitud del registro por SI (calculada)</t>
        </is>
      </c>
      <c r="E1" s="6" t="inlineStr">
        <is>
          <t>B. Hallazgos, inconsistencias y trazabilidad de migración</t>
        </is>
      </c>
    </row>
    <row r="2" ht="42" customHeight="1">
      <c r="A2" s="3" t="inlineStr">
        <is>
          <t>ID_SI</t>
        </is>
      </c>
      <c r="B2" s="3" t="inlineStr">
        <is>
          <t>Nombre_oficial</t>
        </is>
      </c>
      <c r="C2" s="3" t="inlineStr">
        <is>
          <t>Completitud del registro (44 campos)</t>
        </is>
      </c>
      <c r="E2" s="8" t="inlineStr">
        <is>
          <t>ID_Hallazgo</t>
        </is>
      </c>
      <c r="F2" s="8" t="inlineStr">
        <is>
          <t>ID_SI</t>
        </is>
      </c>
      <c r="G2" s="8" t="inlineStr">
        <is>
          <t>Tipo_de_hallazgo</t>
        </is>
      </c>
      <c r="H2" s="8" t="inlineStr">
        <is>
          <t>Campo(s) afectado(s)</t>
        </is>
      </c>
      <c r="I2" s="8" t="inlineStr">
        <is>
          <t>Descripción del hallazgo</t>
        </is>
      </c>
      <c r="J2" s="8" t="inlineStr">
        <is>
          <t>Fecha_deteccion</t>
        </is>
      </c>
      <c r="K2" s="8" t="inlineStr">
        <is>
          <t>Responsable_correccion</t>
        </is>
      </c>
      <c r="L2" s="8" t="inlineStr">
        <is>
          <t>Estado_hallazgo</t>
        </is>
      </c>
      <c r="M2" s="8" t="inlineStr">
        <is>
          <t>Fecha_cierre</t>
        </is>
      </c>
      <c r="N2" s="8" t="inlineStr">
        <is>
          <t>Observaciones (incluye trazabilidad de reclasificación / migración)</t>
        </is>
      </c>
    </row>
    <row r="3">
      <c r="A3" s="2">
        <f>'Catálogo_SI'!A2</f>
        <v/>
      </c>
      <c r="B3" s="2">
        <f>IF('Catálogo_SI'!A2="","",'Catálogo_SI'!B2)</f>
        <v/>
      </c>
      <c r="C3" s="9">
        <f>IF('Catálogo_SI'!A2="","",ROUND(COUNTA('Catálogo_SI'!A2:AR2)/44,2))</f>
        <v/>
      </c>
    </row>
    <row r="4">
      <c r="A4" s="2">
        <f>'Catálogo_SI'!A3</f>
        <v/>
      </c>
      <c r="B4" s="2">
        <f>IF('Catálogo_SI'!A3="","",'Catálogo_SI'!B3)</f>
        <v/>
      </c>
      <c r="C4" s="9">
        <f>IF('Catálogo_SI'!A3="","",ROUND(COUNTA('Catálogo_SI'!A3:AR3)/44,2))</f>
        <v/>
      </c>
    </row>
    <row r="5">
      <c r="A5" s="2">
        <f>'Catálogo_SI'!A4</f>
        <v/>
      </c>
      <c r="B5" s="2">
        <f>IF('Catálogo_SI'!A4="","",'Catálogo_SI'!B4)</f>
        <v/>
      </c>
      <c r="C5" s="9">
        <f>IF('Catálogo_SI'!A4="","",ROUND(COUNTA('Catálogo_SI'!A4:AR4)/44,2))</f>
        <v/>
      </c>
    </row>
    <row r="6">
      <c r="A6" s="2">
        <f>'Catálogo_SI'!A5</f>
        <v/>
      </c>
      <c r="B6" s="2">
        <f>IF('Catálogo_SI'!A5="","",'Catálogo_SI'!B5)</f>
        <v/>
      </c>
      <c r="C6" s="9">
        <f>IF('Catálogo_SI'!A5="","",ROUND(COUNTA('Catálogo_SI'!A5:AR5)/44,2))</f>
        <v/>
      </c>
    </row>
    <row r="7">
      <c r="A7" s="2">
        <f>'Catálogo_SI'!A6</f>
        <v/>
      </c>
      <c r="B7" s="2">
        <f>IF('Catálogo_SI'!A6="","",'Catálogo_SI'!B6)</f>
        <v/>
      </c>
      <c r="C7" s="9">
        <f>IF('Catálogo_SI'!A6="","",ROUND(COUNTA('Catálogo_SI'!A6:AR6)/44,2))</f>
        <v/>
      </c>
    </row>
    <row r="8">
      <c r="A8" s="2">
        <f>'Catálogo_SI'!A7</f>
        <v/>
      </c>
      <c r="B8" s="2">
        <f>IF('Catálogo_SI'!A7="","",'Catálogo_SI'!B7)</f>
        <v/>
      </c>
      <c r="C8" s="9">
        <f>IF('Catálogo_SI'!A7="","",ROUND(COUNTA('Catálogo_SI'!A7:AR7)/44,2))</f>
        <v/>
      </c>
    </row>
    <row r="9">
      <c r="A9" s="2">
        <f>'Catálogo_SI'!A8</f>
        <v/>
      </c>
      <c r="B9" s="2">
        <f>IF('Catálogo_SI'!A8="","",'Catálogo_SI'!B8)</f>
        <v/>
      </c>
      <c r="C9" s="9">
        <f>IF('Catálogo_SI'!A8="","",ROUND(COUNTA('Catálogo_SI'!A8:AR8)/44,2))</f>
        <v/>
      </c>
    </row>
    <row r="10">
      <c r="A10" s="2">
        <f>'Catálogo_SI'!A9</f>
        <v/>
      </c>
      <c r="B10" s="2">
        <f>IF('Catálogo_SI'!A9="","",'Catálogo_SI'!B9)</f>
        <v/>
      </c>
      <c r="C10" s="9">
        <f>IF('Catálogo_SI'!A9="","",ROUND(COUNTA('Catálogo_SI'!A9:AR9)/44,2))</f>
        <v/>
      </c>
    </row>
    <row r="11">
      <c r="A11" s="2">
        <f>'Catálogo_SI'!A10</f>
        <v/>
      </c>
      <c r="B11" s="2">
        <f>IF('Catálogo_SI'!A10="","",'Catálogo_SI'!B10)</f>
        <v/>
      </c>
      <c r="C11" s="9">
        <f>IF('Catálogo_SI'!A10="","",ROUND(COUNTA('Catálogo_SI'!A10:AR10)/44,2))</f>
        <v/>
      </c>
    </row>
    <row r="12">
      <c r="A12" s="2">
        <f>'Catálogo_SI'!A11</f>
        <v/>
      </c>
      <c r="B12" s="2">
        <f>IF('Catálogo_SI'!A11="","",'Catálogo_SI'!B11)</f>
        <v/>
      </c>
      <c r="C12" s="9">
        <f>IF('Catálogo_SI'!A11="","",ROUND(COUNTA('Catálogo_SI'!A11:AR11)/44,2))</f>
        <v/>
      </c>
    </row>
    <row r="13">
      <c r="A13" s="2">
        <f>'Catálogo_SI'!A12</f>
        <v/>
      </c>
      <c r="B13" s="2">
        <f>IF('Catálogo_SI'!A12="","",'Catálogo_SI'!B12)</f>
        <v/>
      </c>
      <c r="C13" s="9">
        <f>IF('Catálogo_SI'!A12="","",ROUND(COUNTA('Catálogo_SI'!A12:AR12)/44,2))</f>
        <v/>
      </c>
    </row>
    <row r="14">
      <c r="A14" s="2">
        <f>'Catálogo_SI'!A13</f>
        <v/>
      </c>
      <c r="B14" s="2">
        <f>IF('Catálogo_SI'!A13="","",'Catálogo_SI'!B13)</f>
        <v/>
      </c>
      <c r="C14" s="9">
        <f>IF('Catálogo_SI'!A13="","",ROUND(COUNTA('Catálogo_SI'!A13:AR13)/44,2))</f>
        <v/>
      </c>
    </row>
    <row r="15">
      <c r="A15" s="2">
        <f>'Catálogo_SI'!A14</f>
        <v/>
      </c>
      <c r="B15" s="2">
        <f>IF('Catálogo_SI'!A14="","",'Catálogo_SI'!B14)</f>
        <v/>
      </c>
      <c r="C15" s="9">
        <f>IF('Catálogo_SI'!A14="","",ROUND(COUNTA('Catálogo_SI'!A14:AR14)/44,2))</f>
        <v/>
      </c>
    </row>
    <row r="16">
      <c r="A16" s="2">
        <f>'Catálogo_SI'!A15</f>
        <v/>
      </c>
      <c r="B16" s="2">
        <f>IF('Catálogo_SI'!A15="","",'Catálogo_SI'!B15)</f>
        <v/>
      </c>
      <c r="C16" s="9">
        <f>IF('Catálogo_SI'!A15="","",ROUND(COUNTA('Catálogo_SI'!A15:AR15)/44,2))</f>
        <v/>
      </c>
    </row>
    <row r="17">
      <c r="A17" s="2">
        <f>'Catálogo_SI'!A16</f>
        <v/>
      </c>
      <c r="B17" s="2">
        <f>IF('Catálogo_SI'!A16="","",'Catálogo_SI'!B16)</f>
        <v/>
      </c>
      <c r="C17" s="9">
        <f>IF('Catálogo_SI'!A16="","",ROUND(COUNTA('Catálogo_SI'!A16:AR16)/44,2))</f>
        <v/>
      </c>
    </row>
    <row r="18">
      <c r="A18" s="2">
        <f>'Catálogo_SI'!A17</f>
        <v/>
      </c>
      <c r="B18" s="2">
        <f>IF('Catálogo_SI'!A17="","",'Catálogo_SI'!B17)</f>
        <v/>
      </c>
      <c r="C18" s="9">
        <f>IF('Catálogo_SI'!A17="","",ROUND(COUNTA('Catálogo_SI'!A17:AR17)/44,2))</f>
        <v/>
      </c>
    </row>
    <row r="19">
      <c r="A19" s="2">
        <f>'Catálogo_SI'!A18</f>
        <v/>
      </c>
      <c r="B19" s="2">
        <f>IF('Catálogo_SI'!A18="","",'Catálogo_SI'!B18)</f>
        <v/>
      </c>
      <c r="C19" s="9">
        <f>IF('Catálogo_SI'!A18="","",ROUND(COUNTA('Catálogo_SI'!A18:AR18)/44,2))</f>
        <v/>
      </c>
    </row>
    <row r="20">
      <c r="A20" s="2">
        <f>'Catálogo_SI'!A19</f>
        <v/>
      </c>
      <c r="B20" s="2">
        <f>IF('Catálogo_SI'!A19="","",'Catálogo_SI'!B19)</f>
        <v/>
      </c>
      <c r="C20" s="9">
        <f>IF('Catálogo_SI'!A19="","",ROUND(COUNTA('Catálogo_SI'!A19:AR19)/44,2))</f>
        <v/>
      </c>
    </row>
    <row r="21">
      <c r="A21" s="2">
        <f>'Catálogo_SI'!A20</f>
        <v/>
      </c>
      <c r="B21" s="2">
        <f>IF('Catálogo_SI'!A20="","",'Catálogo_SI'!B20)</f>
        <v/>
      </c>
      <c r="C21" s="9">
        <f>IF('Catálogo_SI'!A20="","",ROUND(COUNTA('Catálogo_SI'!A20:AR20)/44,2))</f>
        <v/>
      </c>
    </row>
    <row r="22">
      <c r="A22" s="2">
        <f>'Catálogo_SI'!A21</f>
        <v/>
      </c>
      <c r="B22" s="2">
        <f>IF('Catálogo_SI'!A21="","",'Catálogo_SI'!B21)</f>
        <v/>
      </c>
      <c r="C22" s="9">
        <f>IF('Catálogo_SI'!A21="","",ROUND(COUNTA('Catálogo_SI'!A21:AR21)/44,2))</f>
        <v/>
      </c>
    </row>
    <row r="23">
      <c r="A23" s="2">
        <f>'Catálogo_SI'!A22</f>
        <v/>
      </c>
      <c r="B23" s="2">
        <f>IF('Catálogo_SI'!A22="","",'Catálogo_SI'!B22)</f>
        <v/>
      </c>
      <c r="C23" s="9">
        <f>IF('Catálogo_SI'!A22="","",ROUND(COUNTA('Catálogo_SI'!A22:AR22)/44,2))</f>
        <v/>
      </c>
    </row>
    <row r="24">
      <c r="A24" s="2">
        <f>'Catálogo_SI'!A23</f>
        <v/>
      </c>
      <c r="B24" s="2">
        <f>IF('Catálogo_SI'!A23="","",'Catálogo_SI'!B23)</f>
        <v/>
      </c>
      <c r="C24" s="9">
        <f>IF('Catálogo_SI'!A23="","",ROUND(COUNTA('Catálogo_SI'!A23:AR23)/44,2))</f>
        <v/>
      </c>
    </row>
    <row r="25">
      <c r="A25" s="2">
        <f>'Catálogo_SI'!A24</f>
        <v/>
      </c>
      <c r="B25" s="2">
        <f>IF('Catálogo_SI'!A24="","",'Catálogo_SI'!B24)</f>
        <v/>
      </c>
      <c r="C25" s="9">
        <f>IF('Catálogo_SI'!A24="","",ROUND(COUNTA('Catálogo_SI'!A24:AR24)/44,2))</f>
        <v/>
      </c>
    </row>
    <row r="26">
      <c r="A26" s="2">
        <f>'Catálogo_SI'!A25</f>
        <v/>
      </c>
      <c r="B26" s="2">
        <f>IF('Catálogo_SI'!A25="","",'Catálogo_SI'!B25)</f>
        <v/>
      </c>
      <c r="C26" s="9">
        <f>IF('Catálogo_SI'!A25="","",ROUND(COUNTA('Catálogo_SI'!A25:AR25)/44,2))</f>
        <v/>
      </c>
    </row>
    <row r="27">
      <c r="A27" s="2">
        <f>'Catálogo_SI'!A26</f>
        <v/>
      </c>
      <c r="B27" s="2">
        <f>IF('Catálogo_SI'!A26="","",'Catálogo_SI'!B26)</f>
        <v/>
      </c>
      <c r="C27" s="9">
        <f>IF('Catálogo_SI'!A26="","",ROUND(COUNTA('Catálogo_SI'!A26:AR26)/44,2))</f>
        <v/>
      </c>
    </row>
    <row r="28">
      <c r="A28" s="2">
        <f>'Catálogo_SI'!A27</f>
        <v/>
      </c>
      <c r="B28" s="2">
        <f>IF('Catálogo_SI'!A27="","",'Catálogo_SI'!B27)</f>
        <v/>
      </c>
      <c r="C28" s="9">
        <f>IF('Catálogo_SI'!A27="","",ROUND(COUNTA('Catálogo_SI'!A27:AR27)/44,2))</f>
        <v/>
      </c>
    </row>
    <row r="29">
      <c r="A29" s="2">
        <f>'Catálogo_SI'!A28</f>
        <v/>
      </c>
      <c r="B29" s="2">
        <f>IF('Catálogo_SI'!A28="","",'Catálogo_SI'!B28)</f>
        <v/>
      </c>
      <c r="C29" s="9">
        <f>IF('Catálogo_SI'!A28="","",ROUND(COUNTA('Catálogo_SI'!A28:AR28)/44,2))</f>
        <v/>
      </c>
    </row>
    <row r="30">
      <c r="A30" s="2">
        <f>'Catálogo_SI'!A29</f>
        <v/>
      </c>
      <c r="B30" s="2">
        <f>IF('Catálogo_SI'!A29="","",'Catálogo_SI'!B29)</f>
        <v/>
      </c>
      <c r="C30" s="9">
        <f>IF('Catálogo_SI'!A29="","",ROUND(COUNTA('Catálogo_SI'!A29:AR29)/44,2))</f>
        <v/>
      </c>
    </row>
    <row r="31">
      <c r="A31" s="2">
        <f>'Catálogo_SI'!A30</f>
        <v/>
      </c>
      <c r="B31" s="2">
        <f>IF('Catálogo_SI'!A30="","",'Catálogo_SI'!B30)</f>
        <v/>
      </c>
      <c r="C31" s="9">
        <f>IF('Catálogo_SI'!A30="","",ROUND(COUNTA('Catálogo_SI'!A30:AR30)/44,2))</f>
        <v/>
      </c>
    </row>
    <row r="32">
      <c r="A32" s="2">
        <f>'Catálogo_SI'!A31</f>
        <v/>
      </c>
      <c r="B32" s="2">
        <f>IF('Catálogo_SI'!A31="","",'Catálogo_SI'!B31)</f>
        <v/>
      </c>
      <c r="C32" s="9">
        <f>IF('Catálogo_SI'!A31="","",ROUND(COUNTA('Catálogo_SI'!A31:AR31)/44,2))</f>
        <v/>
      </c>
    </row>
    <row r="33">
      <c r="A33" s="2">
        <f>'Catálogo_SI'!A32</f>
        <v/>
      </c>
      <c r="B33" s="2">
        <f>IF('Catálogo_SI'!A32="","",'Catálogo_SI'!B32)</f>
        <v/>
      </c>
      <c r="C33" s="9">
        <f>IF('Catálogo_SI'!A32="","",ROUND(COUNTA('Catálogo_SI'!A32:AR32)/44,2))</f>
        <v/>
      </c>
    </row>
    <row r="34">
      <c r="A34" s="2">
        <f>'Catálogo_SI'!A33</f>
        <v/>
      </c>
      <c r="B34" s="2">
        <f>IF('Catálogo_SI'!A33="","",'Catálogo_SI'!B33)</f>
        <v/>
      </c>
      <c r="C34" s="9">
        <f>IF('Catálogo_SI'!A33="","",ROUND(COUNTA('Catálogo_SI'!A33:AR33)/44,2))</f>
        <v/>
      </c>
    </row>
    <row r="35">
      <c r="A35" s="2">
        <f>'Catálogo_SI'!A34</f>
        <v/>
      </c>
      <c r="B35" s="2">
        <f>IF('Catálogo_SI'!A34="","",'Catálogo_SI'!B34)</f>
        <v/>
      </c>
      <c r="C35" s="9">
        <f>IF('Catálogo_SI'!A34="","",ROUND(COUNTA('Catálogo_SI'!A34:AR34)/44,2))</f>
        <v/>
      </c>
    </row>
    <row r="36">
      <c r="A36" s="2">
        <f>'Catálogo_SI'!A35</f>
        <v/>
      </c>
      <c r="B36" s="2">
        <f>IF('Catálogo_SI'!A35="","",'Catálogo_SI'!B35)</f>
        <v/>
      </c>
      <c r="C36" s="9">
        <f>IF('Catálogo_SI'!A35="","",ROUND(COUNTA('Catálogo_SI'!A35:AR35)/44,2))</f>
        <v/>
      </c>
    </row>
    <row r="37">
      <c r="A37" s="2">
        <f>'Catálogo_SI'!A36</f>
        <v/>
      </c>
      <c r="B37" s="2">
        <f>IF('Catálogo_SI'!A36="","",'Catálogo_SI'!B36)</f>
        <v/>
      </c>
      <c r="C37" s="9">
        <f>IF('Catálogo_SI'!A36="","",ROUND(COUNTA('Catálogo_SI'!A36:AR36)/44,2))</f>
        <v/>
      </c>
    </row>
    <row r="38">
      <c r="A38" s="2">
        <f>'Catálogo_SI'!A37</f>
        <v/>
      </c>
      <c r="B38" s="2">
        <f>IF('Catálogo_SI'!A37="","",'Catálogo_SI'!B37)</f>
        <v/>
      </c>
      <c r="C38" s="9">
        <f>IF('Catálogo_SI'!A37="","",ROUND(COUNTA('Catálogo_SI'!A37:AR37)/44,2))</f>
        <v/>
      </c>
    </row>
    <row r="39">
      <c r="A39" s="2">
        <f>'Catálogo_SI'!A38</f>
        <v/>
      </c>
      <c r="B39" s="2">
        <f>IF('Catálogo_SI'!A38="","",'Catálogo_SI'!B38)</f>
        <v/>
      </c>
      <c r="C39" s="9">
        <f>IF('Catálogo_SI'!A38="","",ROUND(COUNTA('Catálogo_SI'!A38:AR38)/44,2))</f>
        <v/>
      </c>
    </row>
    <row r="40">
      <c r="A40" s="2">
        <f>'Catálogo_SI'!A39</f>
        <v/>
      </c>
      <c r="B40" s="2">
        <f>IF('Catálogo_SI'!A39="","",'Catálogo_SI'!B39)</f>
        <v/>
      </c>
      <c r="C40" s="9">
        <f>IF('Catálogo_SI'!A39="","",ROUND(COUNTA('Catálogo_SI'!A39:AR39)/44,2))</f>
        <v/>
      </c>
    </row>
    <row r="41">
      <c r="A41" s="2">
        <f>'Catálogo_SI'!A40</f>
        <v/>
      </c>
      <c r="B41" s="2">
        <f>IF('Catálogo_SI'!A40="","",'Catálogo_SI'!B40)</f>
        <v/>
      </c>
      <c r="C41" s="9">
        <f>IF('Catálogo_SI'!A40="","",ROUND(COUNTA('Catálogo_SI'!A40:AR40)/44,2))</f>
        <v/>
      </c>
    </row>
    <row r="42">
      <c r="A42" s="2">
        <f>'Catálogo_SI'!A41</f>
        <v/>
      </c>
      <c r="B42" s="2">
        <f>IF('Catálogo_SI'!A41="","",'Catálogo_SI'!B41)</f>
        <v/>
      </c>
      <c r="C42" s="9">
        <f>IF('Catálogo_SI'!A41="","",ROUND(COUNTA('Catálogo_SI'!A41:AR41)/44,2))</f>
        <v/>
      </c>
    </row>
    <row r="43">
      <c r="A43" s="2">
        <f>'Catálogo_SI'!A42</f>
        <v/>
      </c>
      <c r="B43" s="2">
        <f>IF('Catálogo_SI'!A42="","",'Catálogo_SI'!B42)</f>
        <v/>
      </c>
      <c r="C43" s="9">
        <f>IF('Catálogo_SI'!A42="","",ROUND(COUNTA('Catálogo_SI'!A42:AR42)/44,2))</f>
        <v/>
      </c>
    </row>
    <row r="44">
      <c r="A44" s="2">
        <f>'Catálogo_SI'!A43</f>
        <v/>
      </c>
      <c r="B44" s="2">
        <f>IF('Catálogo_SI'!A43="","",'Catálogo_SI'!B43)</f>
        <v/>
      </c>
      <c r="C44" s="9">
        <f>IF('Catálogo_SI'!A43="","",ROUND(COUNTA('Catálogo_SI'!A43:AR43)/44,2))</f>
        <v/>
      </c>
    </row>
    <row r="45">
      <c r="A45" s="2">
        <f>'Catálogo_SI'!A44</f>
        <v/>
      </c>
      <c r="B45" s="2">
        <f>IF('Catálogo_SI'!A44="","",'Catálogo_SI'!B44)</f>
        <v/>
      </c>
      <c r="C45" s="9">
        <f>IF('Catálogo_SI'!A44="","",ROUND(COUNTA('Catálogo_SI'!A44:AR44)/44,2))</f>
        <v/>
      </c>
    </row>
    <row r="46">
      <c r="A46" s="2">
        <f>'Catálogo_SI'!A45</f>
        <v/>
      </c>
      <c r="B46" s="2">
        <f>IF('Catálogo_SI'!A45="","",'Catálogo_SI'!B45)</f>
        <v/>
      </c>
      <c r="C46" s="9">
        <f>IF('Catálogo_SI'!A45="","",ROUND(COUNTA('Catálogo_SI'!A45:AR45)/44,2))</f>
        <v/>
      </c>
    </row>
    <row r="47">
      <c r="A47" s="2">
        <f>'Catálogo_SI'!A46</f>
        <v/>
      </c>
      <c r="B47" s="2">
        <f>IF('Catálogo_SI'!A46="","",'Catálogo_SI'!B46)</f>
        <v/>
      </c>
      <c r="C47" s="9">
        <f>IF('Catálogo_SI'!A46="","",ROUND(COUNTA('Catálogo_SI'!A46:AR46)/44,2))</f>
        <v/>
      </c>
    </row>
    <row r="48">
      <c r="A48" s="2">
        <f>'Catálogo_SI'!A47</f>
        <v/>
      </c>
      <c r="B48" s="2">
        <f>IF('Catálogo_SI'!A47="","",'Catálogo_SI'!B47)</f>
        <v/>
      </c>
      <c r="C48" s="9">
        <f>IF('Catálogo_SI'!A47="","",ROUND(COUNTA('Catálogo_SI'!A47:AR47)/44,2))</f>
        <v/>
      </c>
    </row>
    <row r="49">
      <c r="A49" s="2">
        <f>'Catálogo_SI'!A48</f>
        <v/>
      </c>
      <c r="B49" s="2">
        <f>IF('Catálogo_SI'!A48="","",'Catálogo_SI'!B48)</f>
        <v/>
      </c>
      <c r="C49" s="9">
        <f>IF('Catálogo_SI'!A48="","",ROUND(COUNTA('Catálogo_SI'!A48:AR48)/44,2))</f>
        <v/>
      </c>
    </row>
    <row r="50">
      <c r="A50" s="2">
        <f>'Catálogo_SI'!A49</f>
        <v/>
      </c>
      <c r="B50" s="2">
        <f>IF('Catálogo_SI'!A49="","",'Catálogo_SI'!B49)</f>
        <v/>
      </c>
      <c r="C50" s="9">
        <f>IF('Catálogo_SI'!A49="","",ROUND(COUNTA('Catálogo_SI'!A49:AR49)/44,2))</f>
        <v/>
      </c>
    </row>
    <row r="51">
      <c r="A51" s="2">
        <f>'Catálogo_SI'!A50</f>
        <v/>
      </c>
      <c r="B51" s="2">
        <f>IF('Catálogo_SI'!A50="","",'Catálogo_SI'!B50)</f>
        <v/>
      </c>
      <c r="C51" s="9">
        <f>IF('Catálogo_SI'!A50="","",ROUND(COUNTA('Catálogo_SI'!A50:AR50)/44,2))</f>
        <v/>
      </c>
    </row>
    <row r="52">
      <c r="A52" s="2">
        <f>'Catálogo_SI'!A51</f>
        <v/>
      </c>
      <c r="B52" s="2">
        <f>IF('Catálogo_SI'!A51="","",'Catálogo_SI'!B51)</f>
        <v/>
      </c>
      <c r="C52" s="9">
        <f>IF('Catálogo_SI'!A51="","",ROUND(COUNTA('Catálogo_SI'!A51:AR51)/44,2))</f>
        <v/>
      </c>
    </row>
    <row r="53">
      <c r="A53" s="2">
        <f>'Catálogo_SI'!A52</f>
        <v/>
      </c>
      <c r="B53" s="2">
        <f>IF('Catálogo_SI'!A52="","",'Catálogo_SI'!B52)</f>
        <v/>
      </c>
      <c r="C53" s="9">
        <f>IF('Catálogo_SI'!A52="","",ROUND(COUNTA('Catálogo_SI'!A52:AR52)/44,2))</f>
        <v/>
      </c>
    </row>
    <row r="54">
      <c r="A54" s="2">
        <f>'Catálogo_SI'!A53</f>
        <v/>
      </c>
      <c r="B54" s="2">
        <f>IF('Catálogo_SI'!A53="","",'Catálogo_SI'!B53)</f>
        <v/>
      </c>
      <c r="C54" s="9">
        <f>IF('Catálogo_SI'!A53="","",ROUND(COUNTA('Catálogo_SI'!A53:AR53)/44,2))</f>
        <v/>
      </c>
    </row>
    <row r="55">
      <c r="A55" s="2">
        <f>'Catálogo_SI'!A54</f>
        <v/>
      </c>
      <c r="B55" s="2">
        <f>IF('Catálogo_SI'!A54="","",'Catálogo_SI'!B54)</f>
        <v/>
      </c>
      <c r="C55" s="9">
        <f>IF('Catálogo_SI'!A54="","",ROUND(COUNTA('Catálogo_SI'!A54:AR54)/44,2))</f>
        <v/>
      </c>
    </row>
    <row r="56">
      <c r="A56" s="2">
        <f>'Catálogo_SI'!A55</f>
        <v/>
      </c>
      <c r="B56" s="2">
        <f>IF('Catálogo_SI'!A55="","",'Catálogo_SI'!B55)</f>
        <v/>
      </c>
      <c r="C56" s="9">
        <f>IF('Catálogo_SI'!A55="","",ROUND(COUNTA('Catálogo_SI'!A55:AR55)/44,2))</f>
        <v/>
      </c>
    </row>
    <row r="57">
      <c r="A57" s="2">
        <f>'Catálogo_SI'!A56</f>
        <v/>
      </c>
      <c r="B57" s="2">
        <f>IF('Catálogo_SI'!A56="","",'Catálogo_SI'!B56)</f>
        <v/>
      </c>
      <c r="C57" s="9">
        <f>IF('Catálogo_SI'!A56="","",ROUND(COUNTA('Catálogo_SI'!A56:AR56)/44,2))</f>
        <v/>
      </c>
    </row>
    <row r="58">
      <c r="A58" s="2">
        <f>'Catálogo_SI'!A57</f>
        <v/>
      </c>
      <c r="B58" s="2">
        <f>IF('Catálogo_SI'!A57="","",'Catálogo_SI'!B57)</f>
        <v/>
      </c>
      <c r="C58" s="9">
        <f>IF('Catálogo_SI'!A57="","",ROUND(COUNTA('Catálogo_SI'!A57:AR57)/44,2))</f>
        <v/>
      </c>
    </row>
    <row r="59">
      <c r="A59" s="2">
        <f>'Catálogo_SI'!A58</f>
        <v/>
      </c>
      <c r="B59" s="2">
        <f>IF('Catálogo_SI'!A58="","",'Catálogo_SI'!B58)</f>
        <v/>
      </c>
      <c r="C59" s="9">
        <f>IF('Catálogo_SI'!A58="","",ROUND(COUNTA('Catálogo_SI'!A58:AR58)/44,2))</f>
        <v/>
      </c>
    </row>
    <row r="60">
      <c r="A60" s="2">
        <f>'Catálogo_SI'!A59</f>
        <v/>
      </c>
      <c r="B60" s="2">
        <f>IF('Catálogo_SI'!A59="","",'Catálogo_SI'!B59)</f>
        <v/>
      </c>
      <c r="C60" s="9">
        <f>IF('Catálogo_SI'!A59="","",ROUND(COUNTA('Catálogo_SI'!A59:AR59)/44,2))</f>
        <v/>
      </c>
    </row>
    <row r="61">
      <c r="A61" s="2">
        <f>'Catálogo_SI'!A60</f>
        <v/>
      </c>
      <c r="B61" s="2">
        <f>IF('Catálogo_SI'!A60="","",'Catálogo_SI'!B60)</f>
        <v/>
      </c>
      <c r="C61" s="9">
        <f>IF('Catálogo_SI'!A60="","",ROUND(COUNTA('Catálogo_SI'!A60:AR60)/44,2))</f>
        <v/>
      </c>
    </row>
    <row r="62">
      <c r="A62" s="2">
        <f>'Catálogo_SI'!A61</f>
        <v/>
      </c>
      <c r="B62" s="2">
        <f>IF('Catálogo_SI'!A61="","",'Catálogo_SI'!B61)</f>
        <v/>
      </c>
      <c r="C62" s="9">
        <f>IF('Catálogo_SI'!A61="","",ROUND(COUNTA('Catálogo_SI'!A61:AR61)/44,2))</f>
        <v/>
      </c>
    </row>
    <row r="63">
      <c r="A63" s="2">
        <f>'Catálogo_SI'!A62</f>
        <v/>
      </c>
      <c r="B63" s="2">
        <f>IF('Catálogo_SI'!A62="","",'Catálogo_SI'!B62)</f>
        <v/>
      </c>
      <c r="C63" s="9">
        <f>IF('Catálogo_SI'!A62="","",ROUND(COUNTA('Catálogo_SI'!A62:AR62)/44,2))</f>
        <v/>
      </c>
    </row>
    <row r="64">
      <c r="A64" s="2">
        <f>'Catálogo_SI'!A63</f>
        <v/>
      </c>
      <c r="B64" s="2">
        <f>IF('Catálogo_SI'!A63="","",'Catálogo_SI'!B63)</f>
        <v/>
      </c>
      <c r="C64" s="9">
        <f>IF('Catálogo_SI'!A63="","",ROUND(COUNTA('Catálogo_SI'!A63:AR63)/44,2))</f>
        <v/>
      </c>
    </row>
    <row r="65">
      <c r="A65" s="2">
        <f>'Catálogo_SI'!A64</f>
        <v/>
      </c>
      <c r="B65" s="2">
        <f>IF('Catálogo_SI'!A64="","",'Catálogo_SI'!B64)</f>
        <v/>
      </c>
      <c r="C65" s="9">
        <f>IF('Catálogo_SI'!A64="","",ROUND(COUNTA('Catálogo_SI'!A64:AR64)/44,2))</f>
        <v/>
      </c>
    </row>
    <row r="66">
      <c r="A66" s="2">
        <f>'Catálogo_SI'!A65</f>
        <v/>
      </c>
      <c r="B66" s="2">
        <f>IF('Catálogo_SI'!A65="","",'Catálogo_SI'!B65)</f>
        <v/>
      </c>
      <c r="C66" s="9">
        <f>IF('Catálogo_SI'!A65="","",ROUND(COUNTA('Catálogo_SI'!A65:AR65)/44,2))</f>
        <v/>
      </c>
    </row>
    <row r="67">
      <c r="A67" s="2">
        <f>'Catálogo_SI'!A66</f>
        <v/>
      </c>
      <c r="B67" s="2">
        <f>IF('Catálogo_SI'!A66="","",'Catálogo_SI'!B66)</f>
        <v/>
      </c>
      <c r="C67" s="9">
        <f>IF('Catálogo_SI'!A66="","",ROUND(COUNTA('Catálogo_SI'!A66:AR66)/44,2))</f>
        <v/>
      </c>
    </row>
    <row r="68">
      <c r="A68" s="2">
        <f>'Catálogo_SI'!A67</f>
        <v/>
      </c>
      <c r="B68" s="2">
        <f>IF('Catálogo_SI'!A67="","",'Catálogo_SI'!B67)</f>
        <v/>
      </c>
      <c r="C68" s="9">
        <f>IF('Catálogo_SI'!A67="","",ROUND(COUNTA('Catálogo_SI'!A67:AR67)/44,2))</f>
        <v/>
      </c>
    </row>
    <row r="69">
      <c r="A69" s="2">
        <f>'Catálogo_SI'!A68</f>
        <v/>
      </c>
      <c r="B69" s="2">
        <f>IF('Catálogo_SI'!A68="","",'Catálogo_SI'!B68)</f>
        <v/>
      </c>
      <c r="C69" s="9">
        <f>IF('Catálogo_SI'!A68="","",ROUND(COUNTA('Catálogo_SI'!A68:AR68)/44,2))</f>
        <v/>
      </c>
    </row>
    <row r="70">
      <c r="A70" s="2">
        <f>'Catálogo_SI'!A69</f>
        <v/>
      </c>
      <c r="B70" s="2">
        <f>IF('Catálogo_SI'!A69="","",'Catálogo_SI'!B69)</f>
        <v/>
      </c>
      <c r="C70" s="9">
        <f>IF('Catálogo_SI'!A69="","",ROUND(COUNTA('Catálogo_SI'!A69:AR69)/44,2))</f>
        <v/>
      </c>
    </row>
    <row r="71">
      <c r="A71" s="2">
        <f>'Catálogo_SI'!A70</f>
        <v/>
      </c>
      <c r="B71" s="2">
        <f>IF('Catálogo_SI'!A70="","",'Catálogo_SI'!B70)</f>
        <v/>
      </c>
      <c r="C71" s="9">
        <f>IF('Catálogo_SI'!A70="","",ROUND(COUNTA('Catálogo_SI'!A70:AR70)/44,2))</f>
        <v/>
      </c>
    </row>
    <row r="72">
      <c r="A72" s="2">
        <f>'Catálogo_SI'!A71</f>
        <v/>
      </c>
      <c r="B72" s="2">
        <f>IF('Catálogo_SI'!A71="","",'Catálogo_SI'!B71)</f>
        <v/>
      </c>
      <c r="C72" s="9">
        <f>IF('Catálogo_SI'!A71="","",ROUND(COUNTA('Catálogo_SI'!A71:AR71)/44,2))</f>
        <v/>
      </c>
    </row>
    <row r="73">
      <c r="A73" s="2">
        <f>'Catálogo_SI'!A72</f>
        <v/>
      </c>
      <c r="B73" s="2">
        <f>IF('Catálogo_SI'!A72="","",'Catálogo_SI'!B72)</f>
        <v/>
      </c>
      <c r="C73" s="9">
        <f>IF('Catálogo_SI'!A72="","",ROUND(COUNTA('Catálogo_SI'!A72:AR72)/44,2))</f>
        <v/>
      </c>
    </row>
    <row r="74">
      <c r="A74" s="2">
        <f>'Catálogo_SI'!A73</f>
        <v/>
      </c>
      <c r="B74" s="2">
        <f>IF('Catálogo_SI'!A73="","",'Catálogo_SI'!B73)</f>
        <v/>
      </c>
      <c r="C74" s="9">
        <f>IF('Catálogo_SI'!A73="","",ROUND(COUNTA('Catálogo_SI'!A73:AR73)/44,2))</f>
        <v/>
      </c>
    </row>
    <row r="75">
      <c r="A75" s="2">
        <f>'Catálogo_SI'!A74</f>
        <v/>
      </c>
      <c r="B75" s="2">
        <f>IF('Catálogo_SI'!A74="","",'Catálogo_SI'!B74)</f>
        <v/>
      </c>
      <c r="C75" s="9">
        <f>IF('Catálogo_SI'!A74="","",ROUND(COUNTA('Catálogo_SI'!A74:AR74)/44,2))</f>
        <v/>
      </c>
    </row>
    <row r="76">
      <c r="A76" s="2">
        <f>'Catálogo_SI'!A75</f>
        <v/>
      </c>
      <c r="B76" s="2">
        <f>IF('Catálogo_SI'!A75="","",'Catálogo_SI'!B75)</f>
        <v/>
      </c>
      <c r="C76" s="9">
        <f>IF('Catálogo_SI'!A75="","",ROUND(COUNTA('Catálogo_SI'!A75:AR75)/44,2))</f>
        <v/>
      </c>
    </row>
    <row r="77">
      <c r="A77" s="2">
        <f>'Catálogo_SI'!A76</f>
        <v/>
      </c>
      <c r="B77" s="2">
        <f>IF('Catálogo_SI'!A76="","",'Catálogo_SI'!B76)</f>
        <v/>
      </c>
      <c r="C77" s="9">
        <f>IF('Catálogo_SI'!A76="","",ROUND(COUNTA('Catálogo_SI'!A76:AR76)/44,2))</f>
        <v/>
      </c>
    </row>
    <row r="78">
      <c r="A78" s="2">
        <f>'Catálogo_SI'!A77</f>
        <v/>
      </c>
      <c r="B78" s="2">
        <f>IF('Catálogo_SI'!A77="","",'Catálogo_SI'!B77)</f>
        <v/>
      </c>
      <c r="C78" s="9">
        <f>IF('Catálogo_SI'!A77="","",ROUND(COUNTA('Catálogo_SI'!A77:AR77)/44,2))</f>
        <v/>
      </c>
    </row>
    <row r="79">
      <c r="A79" s="2">
        <f>'Catálogo_SI'!A78</f>
        <v/>
      </c>
      <c r="B79" s="2">
        <f>IF('Catálogo_SI'!A78="","",'Catálogo_SI'!B78)</f>
        <v/>
      </c>
      <c r="C79" s="9">
        <f>IF('Catálogo_SI'!A78="","",ROUND(COUNTA('Catálogo_SI'!A78:AR78)/44,2))</f>
        <v/>
      </c>
    </row>
    <row r="80">
      <c r="A80" s="2">
        <f>'Catálogo_SI'!A79</f>
        <v/>
      </c>
      <c r="B80" s="2">
        <f>IF('Catálogo_SI'!A79="","",'Catálogo_SI'!B79)</f>
        <v/>
      </c>
      <c r="C80" s="9">
        <f>IF('Catálogo_SI'!A79="","",ROUND(COUNTA('Catálogo_SI'!A79:AR79)/44,2))</f>
        <v/>
      </c>
    </row>
    <row r="81">
      <c r="A81" s="2">
        <f>'Catálogo_SI'!A80</f>
        <v/>
      </c>
      <c r="B81" s="2">
        <f>IF('Catálogo_SI'!A80="","",'Catálogo_SI'!B80)</f>
        <v/>
      </c>
      <c r="C81" s="9">
        <f>IF('Catálogo_SI'!A80="","",ROUND(COUNTA('Catálogo_SI'!A80:AR80)/44,2))</f>
        <v/>
      </c>
    </row>
    <row r="82">
      <c r="A82" s="2">
        <f>'Catálogo_SI'!A81</f>
        <v/>
      </c>
      <c r="B82" s="2">
        <f>IF('Catálogo_SI'!A81="","",'Catálogo_SI'!B81)</f>
        <v/>
      </c>
      <c r="C82" s="9">
        <f>IF('Catálogo_SI'!A81="","",ROUND(COUNTA('Catálogo_SI'!A81:AR81)/44,2))</f>
        <v/>
      </c>
    </row>
    <row r="83">
      <c r="A83" s="2">
        <f>'Catálogo_SI'!A82</f>
        <v/>
      </c>
      <c r="B83" s="2">
        <f>IF('Catálogo_SI'!A82="","",'Catálogo_SI'!B82)</f>
        <v/>
      </c>
      <c r="C83" s="9">
        <f>IF('Catálogo_SI'!A82="","",ROUND(COUNTA('Catálogo_SI'!A82:AR82)/44,2))</f>
        <v/>
      </c>
    </row>
    <row r="84">
      <c r="A84" s="2">
        <f>'Catálogo_SI'!A83</f>
        <v/>
      </c>
      <c r="B84" s="2">
        <f>IF('Catálogo_SI'!A83="","",'Catálogo_SI'!B83)</f>
        <v/>
      </c>
      <c r="C84" s="9">
        <f>IF('Catálogo_SI'!A83="","",ROUND(COUNTA('Catálogo_SI'!A83:AR83)/44,2))</f>
        <v/>
      </c>
    </row>
    <row r="85">
      <c r="A85" s="2">
        <f>'Catálogo_SI'!A84</f>
        <v/>
      </c>
      <c r="B85" s="2">
        <f>IF('Catálogo_SI'!A84="","",'Catálogo_SI'!B84)</f>
        <v/>
      </c>
      <c r="C85" s="9">
        <f>IF('Catálogo_SI'!A84="","",ROUND(COUNTA('Catálogo_SI'!A84:AR84)/44,2))</f>
        <v/>
      </c>
    </row>
    <row r="86">
      <c r="A86" s="2">
        <f>'Catálogo_SI'!A85</f>
        <v/>
      </c>
      <c r="B86" s="2">
        <f>IF('Catálogo_SI'!A85="","",'Catálogo_SI'!B85)</f>
        <v/>
      </c>
      <c r="C86" s="9">
        <f>IF('Catálogo_SI'!A85="","",ROUND(COUNTA('Catálogo_SI'!A85:AR85)/44,2))</f>
        <v/>
      </c>
    </row>
    <row r="87">
      <c r="A87" s="2">
        <f>'Catálogo_SI'!A86</f>
        <v/>
      </c>
      <c r="B87" s="2">
        <f>IF('Catálogo_SI'!A86="","",'Catálogo_SI'!B86)</f>
        <v/>
      </c>
      <c r="C87" s="9">
        <f>IF('Catálogo_SI'!A86="","",ROUND(COUNTA('Catálogo_SI'!A86:AR86)/44,2))</f>
        <v/>
      </c>
    </row>
    <row r="88">
      <c r="A88" s="2">
        <f>'Catálogo_SI'!A87</f>
        <v/>
      </c>
      <c r="B88" s="2">
        <f>IF('Catálogo_SI'!A87="","",'Catálogo_SI'!B87)</f>
        <v/>
      </c>
      <c r="C88" s="9">
        <f>IF('Catálogo_SI'!A87="","",ROUND(COUNTA('Catálogo_SI'!A87:AR87)/44,2))</f>
        <v/>
      </c>
    </row>
    <row r="89">
      <c r="A89" s="2">
        <f>'Catálogo_SI'!A88</f>
        <v/>
      </c>
      <c r="B89" s="2">
        <f>IF('Catálogo_SI'!A88="","",'Catálogo_SI'!B88)</f>
        <v/>
      </c>
      <c r="C89" s="9">
        <f>IF('Catálogo_SI'!A88="","",ROUND(COUNTA('Catálogo_SI'!A88:AR88)/44,2))</f>
        <v/>
      </c>
    </row>
    <row r="90">
      <c r="A90" s="2">
        <f>'Catálogo_SI'!A89</f>
        <v/>
      </c>
      <c r="B90" s="2">
        <f>IF('Catálogo_SI'!A89="","",'Catálogo_SI'!B89)</f>
        <v/>
      </c>
      <c r="C90" s="9">
        <f>IF('Catálogo_SI'!A89="","",ROUND(COUNTA('Catálogo_SI'!A89:AR89)/44,2))</f>
        <v/>
      </c>
    </row>
    <row r="91">
      <c r="A91" s="2">
        <f>'Catálogo_SI'!A90</f>
        <v/>
      </c>
      <c r="B91" s="2">
        <f>IF('Catálogo_SI'!A90="","",'Catálogo_SI'!B90)</f>
        <v/>
      </c>
      <c r="C91" s="9">
        <f>IF('Catálogo_SI'!A90="","",ROUND(COUNTA('Catálogo_SI'!A90:AR90)/44,2))</f>
        <v/>
      </c>
    </row>
    <row r="92">
      <c r="A92" s="2">
        <f>'Catálogo_SI'!A91</f>
        <v/>
      </c>
      <c r="B92" s="2">
        <f>IF('Catálogo_SI'!A91="","",'Catálogo_SI'!B91)</f>
        <v/>
      </c>
      <c r="C92" s="9">
        <f>IF('Catálogo_SI'!A91="","",ROUND(COUNTA('Catálogo_SI'!A91:AR91)/44,2))</f>
        <v/>
      </c>
    </row>
    <row r="93">
      <c r="A93" s="2">
        <f>'Catálogo_SI'!A92</f>
        <v/>
      </c>
      <c r="B93" s="2">
        <f>IF('Catálogo_SI'!A92="","",'Catálogo_SI'!B92)</f>
        <v/>
      </c>
      <c r="C93" s="9">
        <f>IF('Catálogo_SI'!A92="","",ROUND(COUNTA('Catálogo_SI'!A92:AR92)/44,2))</f>
        <v/>
      </c>
    </row>
    <row r="94">
      <c r="A94" s="2">
        <f>'Catálogo_SI'!A93</f>
        <v/>
      </c>
      <c r="B94" s="2">
        <f>IF('Catálogo_SI'!A93="","",'Catálogo_SI'!B93)</f>
        <v/>
      </c>
      <c r="C94" s="9">
        <f>IF('Catálogo_SI'!A93="","",ROUND(COUNTA('Catálogo_SI'!A93:AR93)/44,2))</f>
        <v/>
      </c>
    </row>
    <row r="95">
      <c r="A95" s="2">
        <f>'Catálogo_SI'!A94</f>
        <v/>
      </c>
      <c r="B95" s="2">
        <f>IF('Catálogo_SI'!A94="","",'Catálogo_SI'!B94)</f>
        <v/>
      </c>
      <c r="C95" s="9">
        <f>IF('Catálogo_SI'!A94="","",ROUND(COUNTA('Catálogo_SI'!A94:AR94)/44,2))</f>
        <v/>
      </c>
    </row>
    <row r="96">
      <c r="A96" s="2">
        <f>'Catálogo_SI'!A95</f>
        <v/>
      </c>
      <c r="B96" s="2">
        <f>IF('Catálogo_SI'!A95="","",'Catálogo_SI'!B95)</f>
        <v/>
      </c>
      <c r="C96" s="9">
        <f>IF('Catálogo_SI'!A95="","",ROUND(COUNTA('Catálogo_SI'!A95:AR95)/44,2))</f>
        <v/>
      </c>
    </row>
    <row r="97">
      <c r="A97" s="2">
        <f>'Catálogo_SI'!A96</f>
        <v/>
      </c>
      <c r="B97" s="2">
        <f>IF('Catálogo_SI'!A96="","",'Catálogo_SI'!B96)</f>
        <v/>
      </c>
      <c r="C97" s="9">
        <f>IF('Catálogo_SI'!A96="","",ROUND(COUNTA('Catálogo_SI'!A96:AR96)/44,2))</f>
        <v/>
      </c>
    </row>
    <row r="98">
      <c r="A98" s="2">
        <f>'Catálogo_SI'!A97</f>
        <v/>
      </c>
      <c r="B98" s="2">
        <f>IF('Catálogo_SI'!A97="","",'Catálogo_SI'!B97)</f>
        <v/>
      </c>
      <c r="C98" s="9">
        <f>IF('Catálogo_SI'!A97="","",ROUND(COUNTA('Catálogo_SI'!A97:AR97)/44,2))</f>
        <v/>
      </c>
    </row>
    <row r="99">
      <c r="A99" s="2">
        <f>'Catálogo_SI'!A98</f>
        <v/>
      </c>
      <c r="B99" s="2">
        <f>IF('Catálogo_SI'!A98="","",'Catálogo_SI'!B98)</f>
        <v/>
      </c>
      <c r="C99" s="9">
        <f>IF('Catálogo_SI'!A98="","",ROUND(COUNTA('Catálogo_SI'!A98:AR98)/44,2))</f>
        <v/>
      </c>
    </row>
    <row r="100">
      <c r="A100" s="2">
        <f>'Catálogo_SI'!A99</f>
        <v/>
      </c>
      <c r="B100" s="2">
        <f>IF('Catálogo_SI'!A99="","",'Catálogo_SI'!B99)</f>
        <v/>
      </c>
      <c r="C100" s="9">
        <f>IF('Catálogo_SI'!A99="","",ROUND(COUNTA('Catálogo_SI'!A99:AR99)/44,2))</f>
        <v/>
      </c>
    </row>
    <row r="101">
      <c r="A101" s="2">
        <f>'Catálogo_SI'!A100</f>
        <v/>
      </c>
      <c r="B101" s="2">
        <f>IF('Catálogo_SI'!A100="","",'Catálogo_SI'!B100)</f>
        <v/>
      </c>
      <c r="C101" s="9">
        <f>IF('Catálogo_SI'!A100="","",ROUND(COUNTA('Catálogo_SI'!A100:AR100)/44,2))</f>
        <v/>
      </c>
    </row>
    <row r="102">
      <c r="A102" s="2">
        <f>'Catálogo_SI'!A101</f>
        <v/>
      </c>
      <c r="B102" s="2">
        <f>IF('Catálogo_SI'!A101="","",'Catálogo_SI'!B101)</f>
        <v/>
      </c>
      <c r="C102" s="9">
        <f>IF('Catálogo_SI'!A101="","",ROUND(COUNTA('Catálogo_SI'!A101:AR101)/44,2))</f>
        <v/>
      </c>
    </row>
    <row r="103">
      <c r="A103" s="2">
        <f>'Catálogo_SI'!A102</f>
        <v/>
      </c>
      <c r="B103" s="2">
        <f>IF('Catálogo_SI'!A102="","",'Catálogo_SI'!B102)</f>
        <v/>
      </c>
      <c r="C103" s="9">
        <f>IF('Catálogo_SI'!A102="","",ROUND(COUNTA('Catálogo_SI'!A102:AR102)/44,2))</f>
        <v/>
      </c>
    </row>
    <row r="104">
      <c r="A104" s="2">
        <f>'Catálogo_SI'!A103</f>
        <v/>
      </c>
      <c r="B104" s="2">
        <f>IF('Catálogo_SI'!A103="","",'Catálogo_SI'!B103)</f>
        <v/>
      </c>
      <c r="C104" s="9">
        <f>IF('Catálogo_SI'!A103="","",ROUND(COUNTA('Catálogo_SI'!A103:AR103)/44,2))</f>
        <v/>
      </c>
    </row>
    <row r="105">
      <c r="A105" s="2">
        <f>'Catálogo_SI'!A104</f>
        <v/>
      </c>
      <c r="B105" s="2">
        <f>IF('Catálogo_SI'!A104="","",'Catálogo_SI'!B104)</f>
        <v/>
      </c>
      <c r="C105" s="9">
        <f>IF('Catálogo_SI'!A104="","",ROUND(COUNTA('Catálogo_SI'!A104:AR104)/44,2))</f>
        <v/>
      </c>
    </row>
    <row r="106">
      <c r="A106" s="2">
        <f>'Catálogo_SI'!A105</f>
        <v/>
      </c>
      <c r="B106" s="2">
        <f>IF('Catálogo_SI'!A105="","",'Catálogo_SI'!B105)</f>
        <v/>
      </c>
      <c r="C106" s="9">
        <f>IF('Catálogo_SI'!A105="","",ROUND(COUNTA('Catálogo_SI'!A105:AR105)/44,2))</f>
        <v/>
      </c>
    </row>
    <row r="107">
      <c r="A107" s="2">
        <f>'Catálogo_SI'!A106</f>
        <v/>
      </c>
      <c r="B107" s="2">
        <f>IF('Catálogo_SI'!A106="","",'Catálogo_SI'!B106)</f>
        <v/>
      </c>
      <c r="C107" s="9">
        <f>IF('Catálogo_SI'!A106="","",ROUND(COUNTA('Catálogo_SI'!A106:AR106)/44,2))</f>
        <v/>
      </c>
    </row>
    <row r="108">
      <c r="A108" s="2">
        <f>'Catálogo_SI'!A107</f>
        <v/>
      </c>
      <c r="B108" s="2">
        <f>IF('Catálogo_SI'!A107="","",'Catálogo_SI'!B107)</f>
        <v/>
      </c>
      <c r="C108" s="9">
        <f>IF('Catálogo_SI'!A107="","",ROUND(COUNTA('Catálogo_SI'!A107:AR107)/44,2))</f>
        <v/>
      </c>
    </row>
    <row r="109">
      <c r="A109" s="2">
        <f>'Catálogo_SI'!A108</f>
        <v/>
      </c>
      <c r="B109" s="2">
        <f>IF('Catálogo_SI'!A108="","",'Catálogo_SI'!B108)</f>
        <v/>
      </c>
      <c r="C109" s="9">
        <f>IF('Catálogo_SI'!A108="","",ROUND(COUNTA('Catálogo_SI'!A108:AR108)/44,2))</f>
        <v/>
      </c>
    </row>
    <row r="110">
      <c r="A110" s="2">
        <f>'Catálogo_SI'!A109</f>
        <v/>
      </c>
      <c r="B110" s="2">
        <f>IF('Catálogo_SI'!A109="","",'Catálogo_SI'!B109)</f>
        <v/>
      </c>
      <c r="C110" s="9">
        <f>IF('Catálogo_SI'!A109="","",ROUND(COUNTA('Catálogo_SI'!A109:AR109)/44,2))</f>
        <v/>
      </c>
    </row>
    <row r="111">
      <c r="A111" s="2">
        <f>'Catálogo_SI'!A110</f>
        <v/>
      </c>
      <c r="B111" s="2">
        <f>IF('Catálogo_SI'!A110="","",'Catálogo_SI'!B110)</f>
        <v/>
      </c>
      <c r="C111" s="9">
        <f>IF('Catálogo_SI'!A110="","",ROUND(COUNTA('Catálogo_SI'!A110:AR110)/44,2))</f>
        <v/>
      </c>
    </row>
    <row r="112">
      <c r="A112" s="2">
        <f>'Catálogo_SI'!A111</f>
        <v/>
      </c>
      <c r="B112" s="2">
        <f>IF('Catálogo_SI'!A111="","",'Catálogo_SI'!B111)</f>
        <v/>
      </c>
      <c r="C112" s="9">
        <f>IF('Catálogo_SI'!A111="","",ROUND(COUNTA('Catálogo_SI'!A111:AR111)/44,2))</f>
        <v/>
      </c>
    </row>
    <row r="113">
      <c r="A113" s="2">
        <f>'Catálogo_SI'!A112</f>
        <v/>
      </c>
      <c r="B113" s="2">
        <f>IF('Catálogo_SI'!A112="","",'Catálogo_SI'!B112)</f>
        <v/>
      </c>
      <c r="C113" s="9">
        <f>IF('Catálogo_SI'!A112="","",ROUND(COUNTA('Catálogo_SI'!A112:AR112)/44,2))</f>
        <v/>
      </c>
    </row>
    <row r="114">
      <c r="A114" s="2">
        <f>'Catálogo_SI'!A113</f>
        <v/>
      </c>
      <c r="B114" s="2">
        <f>IF('Catálogo_SI'!A113="","",'Catálogo_SI'!B113)</f>
        <v/>
      </c>
      <c r="C114" s="9">
        <f>IF('Catálogo_SI'!A113="","",ROUND(COUNTA('Catálogo_SI'!A113:AR113)/44,2))</f>
        <v/>
      </c>
    </row>
    <row r="115">
      <c r="A115" s="2">
        <f>'Catálogo_SI'!A114</f>
        <v/>
      </c>
      <c r="B115" s="2">
        <f>IF('Catálogo_SI'!A114="","",'Catálogo_SI'!B114)</f>
        <v/>
      </c>
      <c r="C115" s="9">
        <f>IF('Catálogo_SI'!A114="","",ROUND(COUNTA('Catálogo_SI'!A114:AR114)/44,2))</f>
        <v/>
      </c>
    </row>
    <row r="116">
      <c r="A116" s="2">
        <f>'Catálogo_SI'!A115</f>
        <v/>
      </c>
      <c r="B116" s="2">
        <f>IF('Catálogo_SI'!A115="","",'Catálogo_SI'!B115)</f>
        <v/>
      </c>
      <c r="C116" s="9">
        <f>IF('Catálogo_SI'!A115="","",ROUND(COUNTA('Catálogo_SI'!A115:AR115)/44,2))</f>
        <v/>
      </c>
    </row>
    <row r="117">
      <c r="A117" s="2">
        <f>'Catálogo_SI'!A116</f>
        <v/>
      </c>
      <c r="B117" s="2">
        <f>IF('Catálogo_SI'!A116="","",'Catálogo_SI'!B116)</f>
        <v/>
      </c>
      <c r="C117" s="9">
        <f>IF('Catálogo_SI'!A116="","",ROUND(COUNTA('Catálogo_SI'!A116:AR116)/44,2))</f>
        <v/>
      </c>
    </row>
    <row r="118">
      <c r="A118" s="2">
        <f>'Catálogo_SI'!A117</f>
        <v/>
      </c>
      <c r="B118" s="2">
        <f>IF('Catálogo_SI'!A117="","",'Catálogo_SI'!B117)</f>
        <v/>
      </c>
      <c r="C118" s="9">
        <f>IF('Catálogo_SI'!A117="","",ROUND(COUNTA('Catálogo_SI'!A117:AR117)/44,2))</f>
        <v/>
      </c>
    </row>
    <row r="119">
      <c r="A119" s="2">
        <f>'Catálogo_SI'!A118</f>
        <v/>
      </c>
      <c r="B119" s="2">
        <f>IF('Catálogo_SI'!A118="","",'Catálogo_SI'!B118)</f>
        <v/>
      </c>
      <c r="C119" s="9">
        <f>IF('Catálogo_SI'!A118="","",ROUND(COUNTA('Catálogo_SI'!A118:AR118)/44,2))</f>
        <v/>
      </c>
    </row>
    <row r="120">
      <c r="A120" s="2">
        <f>'Catálogo_SI'!A119</f>
        <v/>
      </c>
      <c r="B120" s="2">
        <f>IF('Catálogo_SI'!A119="","",'Catálogo_SI'!B119)</f>
        <v/>
      </c>
      <c r="C120" s="9">
        <f>IF('Catálogo_SI'!A119="","",ROUND(COUNTA('Catálogo_SI'!A119:AR119)/44,2))</f>
        <v/>
      </c>
    </row>
    <row r="121">
      <c r="A121" s="2">
        <f>'Catálogo_SI'!A120</f>
        <v/>
      </c>
      <c r="B121" s="2">
        <f>IF('Catálogo_SI'!A120="","",'Catálogo_SI'!B120)</f>
        <v/>
      </c>
      <c r="C121" s="9">
        <f>IF('Catálogo_SI'!A120="","",ROUND(COUNTA('Catálogo_SI'!A120:AR120)/44,2))</f>
        <v/>
      </c>
    </row>
    <row r="122">
      <c r="A122" s="2">
        <f>'Catálogo_SI'!A121</f>
        <v/>
      </c>
      <c r="B122" s="2">
        <f>IF('Catálogo_SI'!A121="","",'Catálogo_SI'!B121)</f>
        <v/>
      </c>
      <c r="C122" s="9">
        <f>IF('Catálogo_SI'!A121="","",ROUND(COUNTA('Catálogo_SI'!A121:AR121)/44,2))</f>
        <v/>
      </c>
    </row>
    <row r="123">
      <c r="A123" s="2">
        <f>'Catálogo_SI'!A122</f>
        <v/>
      </c>
      <c r="B123" s="2">
        <f>IF('Catálogo_SI'!A122="","",'Catálogo_SI'!B122)</f>
        <v/>
      </c>
      <c r="C123" s="9">
        <f>IF('Catálogo_SI'!A122="","",ROUND(COUNTA('Catálogo_SI'!A122:AR122)/44,2))</f>
        <v/>
      </c>
    </row>
    <row r="124">
      <c r="A124" s="2">
        <f>'Catálogo_SI'!A123</f>
        <v/>
      </c>
      <c r="B124" s="2">
        <f>IF('Catálogo_SI'!A123="","",'Catálogo_SI'!B123)</f>
        <v/>
      </c>
      <c r="C124" s="9">
        <f>IF('Catálogo_SI'!A123="","",ROUND(COUNTA('Catálogo_SI'!A123:AR123)/44,2))</f>
        <v/>
      </c>
    </row>
    <row r="125">
      <c r="A125" s="2">
        <f>'Catálogo_SI'!A124</f>
        <v/>
      </c>
      <c r="B125" s="2">
        <f>IF('Catálogo_SI'!A124="","",'Catálogo_SI'!B124)</f>
        <v/>
      </c>
      <c r="C125" s="9">
        <f>IF('Catálogo_SI'!A124="","",ROUND(COUNTA('Catálogo_SI'!A124:AR124)/44,2))</f>
        <v/>
      </c>
    </row>
    <row r="126">
      <c r="A126" s="2">
        <f>'Catálogo_SI'!A125</f>
        <v/>
      </c>
      <c r="B126" s="2">
        <f>IF('Catálogo_SI'!A125="","",'Catálogo_SI'!B125)</f>
        <v/>
      </c>
      <c r="C126" s="9">
        <f>IF('Catálogo_SI'!A125="","",ROUND(COUNTA('Catálogo_SI'!A125:AR125)/44,2))</f>
        <v/>
      </c>
    </row>
    <row r="127">
      <c r="A127" s="2">
        <f>'Catálogo_SI'!A126</f>
        <v/>
      </c>
      <c r="B127" s="2">
        <f>IF('Catálogo_SI'!A126="","",'Catálogo_SI'!B126)</f>
        <v/>
      </c>
      <c r="C127" s="9">
        <f>IF('Catálogo_SI'!A126="","",ROUND(COUNTA('Catálogo_SI'!A126:AR126)/44,2))</f>
        <v/>
      </c>
    </row>
    <row r="128">
      <c r="A128" s="2">
        <f>'Catálogo_SI'!A127</f>
        <v/>
      </c>
      <c r="B128" s="2">
        <f>IF('Catálogo_SI'!A127="","",'Catálogo_SI'!B127)</f>
        <v/>
      </c>
      <c r="C128" s="9">
        <f>IF('Catálogo_SI'!A127="","",ROUND(COUNTA('Catálogo_SI'!A127:AR127)/44,2))</f>
        <v/>
      </c>
    </row>
    <row r="129">
      <c r="A129" s="2">
        <f>'Catálogo_SI'!A128</f>
        <v/>
      </c>
      <c r="B129" s="2">
        <f>IF('Catálogo_SI'!A128="","",'Catálogo_SI'!B128)</f>
        <v/>
      </c>
      <c r="C129" s="9">
        <f>IF('Catálogo_SI'!A128="","",ROUND(COUNTA('Catálogo_SI'!A128:AR128)/44,2))</f>
        <v/>
      </c>
    </row>
    <row r="130">
      <c r="A130" s="2">
        <f>'Catálogo_SI'!A129</f>
        <v/>
      </c>
      <c r="B130" s="2">
        <f>IF('Catálogo_SI'!A129="","",'Catálogo_SI'!B129)</f>
        <v/>
      </c>
      <c r="C130" s="9">
        <f>IF('Catálogo_SI'!A129="","",ROUND(COUNTA('Catálogo_SI'!A129:AR129)/44,2))</f>
        <v/>
      </c>
    </row>
    <row r="131">
      <c r="A131" s="2">
        <f>'Catálogo_SI'!A130</f>
        <v/>
      </c>
      <c r="B131" s="2">
        <f>IF('Catálogo_SI'!A130="","",'Catálogo_SI'!B130)</f>
        <v/>
      </c>
      <c r="C131" s="9">
        <f>IF('Catálogo_SI'!A130="","",ROUND(COUNTA('Catálogo_SI'!A130:AR130)/44,2))</f>
        <v/>
      </c>
    </row>
    <row r="132">
      <c r="A132" s="2">
        <f>'Catálogo_SI'!A131</f>
        <v/>
      </c>
      <c r="B132" s="2">
        <f>IF('Catálogo_SI'!A131="","",'Catálogo_SI'!B131)</f>
        <v/>
      </c>
      <c r="C132" s="9">
        <f>IF('Catálogo_SI'!A131="","",ROUND(COUNTA('Catálogo_SI'!A131:AR131)/44,2))</f>
        <v/>
      </c>
    </row>
    <row r="133">
      <c r="A133" s="2">
        <f>'Catálogo_SI'!A132</f>
        <v/>
      </c>
      <c r="B133" s="2">
        <f>IF('Catálogo_SI'!A132="","",'Catálogo_SI'!B132)</f>
        <v/>
      </c>
      <c r="C133" s="9">
        <f>IF('Catálogo_SI'!A132="","",ROUND(COUNTA('Catálogo_SI'!A132:AR132)/44,2))</f>
        <v/>
      </c>
    </row>
    <row r="134">
      <c r="A134" s="2">
        <f>'Catálogo_SI'!A133</f>
        <v/>
      </c>
      <c r="B134" s="2">
        <f>IF('Catálogo_SI'!A133="","",'Catálogo_SI'!B133)</f>
        <v/>
      </c>
      <c r="C134" s="9">
        <f>IF('Catálogo_SI'!A133="","",ROUND(COUNTA('Catálogo_SI'!A133:AR133)/44,2))</f>
        <v/>
      </c>
    </row>
    <row r="135">
      <c r="A135" s="2">
        <f>'Catálogo_SI'!A134</f>
        <v/>
      </c>
      <c r="B135" s="2">
        <f>IF('Catálogo_SI'!A134="","",'Catálogo_SI'!B134)</f>
        <v/>
      </c>
      <c r="C135" s="9">
        <f>IF('Catálogo_SI'!A134="","",ROUND(COUNTA('Catálogo_SI'!A134:AR134)/44,2))</f>
        <v/>
      </c>
    </row>
    <row r="136">
      <c r="A136" s="2">
        <f>'Catálogo_SI'!A135</f>
        <v/>
      </c>
      <c r="B136" s="2">
        <f>IF('Catálogo_SI'!A135="","",'Catálogo_SI'!B135)</f>
        <v/>
      </c>
      <c r="C136" s="9">
        <f>IF('Catálogo_SI'!A135="","",ROUND(COUNTA('Catálogo_SI'!A135:AR135)/44,2))</f>
        <v/>
      </c>
    </row>
    <row r="137">
      <c r="A137" s="2">
        <f>'Catálogo_SI'!A136</f>
        <v/>
      </c>
      <c r="B137" s="2">
        <f>IF('Catálogo_SI'!A136="","",'Catálogo_SI'!B136)</f>
        <v/>
      </c>
      <c r="C137" s="9">
        <f>IF('Catálogo_SI'!A136="","",ROUND(COUNTA('Catálogo_SI'!A136:AR136)/44,2))</f>
        <v/>
      </c>
    </row>
    <row r="138">
      <c r="A138" s="2">
        <f>'Catálogo_SI'!A137</f>
        <v/>
      </c>
      <c r="B138" s="2">
        <f>IF('Catálogo_SI'!A137="","",'Catálogo_SI'!B137)</f>
        <v/>
      </c>
      <c r="C138" s="9">
        <f>IF('Catálogo_SI'!A137="","",ROUND(COUNTA('Catálogo_SI'!A137:AR137)/44,2))</f>
        <v/>
      </c>
    </row>
    <row r="139">
      <c r="A139" s="2">
        <f>'Catálogo_SI'!A138</f>
        <v/>
      </c>
      <c r="B139" s="2">
        <f>IF('Catálogo_SI'!A138="","",'Catálogo_SI'!B138)</f>
        <v/>
      </c>
      <c r="C139" s="9">
        <f>IF('Catálogo_SI'!A138="","",ROUND(COUNTA('Catálogo_SI'!A138:AR138)/44,2))</f>
        <v/>
      </c>
    </row>
    <row r="140">
      <c r="A140" s="2">
        <f>'Catálogo_SI'!A139</f>
        <v/>
      </c>
      <c r="B140" s="2">
        <f>IF('Catálogo_SI'!A139="","",'Catálogo_SI'!B139)</f>
        <v/>
      </c>
      <c r="C140" s="9">
        <f>IF('Catálogo_SI'!A139="","",ROUND(COUNTA('Catálogo_SI'!A139:AR139)/44,2))</f>
        <v/>
      </c>
    </row>
    <row r="141">
      <c r="A141" s="2">
        <f>'Catálogo_SI'!A140</f>
        <v/>
      </c>
      <c r="B141" s="2">
        <f>IF('Catálogo_SI'!A140="","",'Catálogo_SI'!B140)</f>
        <v/>
      </c>
      <c r="C141" s="9">
        <f>IF('Catálogo_SI'!A140="","",ROUND(COUNTA('Catálogo_SI'!A140:AR140)/44,2))</f>
        <v/>
      </c>
    </row>
    <row r="142">
      <c r="A142" s="2">
        <f>'Catálogo_SI'!A141</f>
        <v/>
      </c>
      <c r="B142" s="2">
        <f>IF('Catálogo_SI'!A141="","",'Catálogo_SI'!B141)</f>
        <v/>
      </c>
      <c r="C142" s="9">
        <f>IF('Catálogo_SI'!A141="","",ROUND(COUNTA('Catálogo_SI'!A141:AR141)/44,2))</f>
        <v/>
      </c>
    </row>
    <row r="143">
      <c r="A143" s="2">
        <f>'Catálogo_SI'!A142</f>
        <v/>
      </c>
      <c r="B143" s="2">
        <f>IF('Catálogo_SI'!A142="","",'Catálogo_SI'!B142)</f>
        <v/>
      </c>
      <c r="C143" s="9">
        <f>IF('Catálogo_SI'!A142="","",ROUND(COUNTA('Catálogo_SI'!A142:AR142)/44,2))</f>
        <v/>
      </c>
    </row>
    <row r="144">
      <c r="A144" s="2">
        <f>'Catálogo_SI'!A143</f>
        <v/>
      </c>
      <c r="B144" s="2">
        <f>IF('Catálogo_SI'!A143="","",'Catálogo_SI'!B143)</f>
        <v/>
      </c>
      <c r="C144" s="9">
        <f>IF('Catálogo_SI'!A143="","",ROUND(COUNTA('Catálogo_SI'!A143:AR143)/44,2))</f>
        <v/>
      </c>
    </row>
    <row r="145">
      <c r="A145" s="2">
        <f>'Catálogo_SI'!A144</f>
        <v/>
      </c>
      <c r="B145" s="2">
        <f>IF('Catálogo_SI'!A144="","",'Catálogo_SI'!B144)</f>
        <v/>
      </c>
      <c r="C145" s="9">
        <f>IF('Catálogo_SI'!A144="","",ROUND(COUNTA('Catálogo_SI'!A144:AR144)/44,2))</f>
        <v/>
      </c>
    </row>
    <row r="146">
      <c r="A146" s="2">
        <f>'Catálogo_SI'!A145</f>
        <v/>
      </c>
      <c r="B146" s="2">
        <f>IF('Catálogo_SI'!A145="","",'Catálogo_SI'!B145)</f>
        <v/>
      </c>
      <c r="C146" s="9">
        <f>IF('Catálogo_SI'!A145="","",ROUND(COUNTA('Catálogo_SI'!A145:AR145)/44,2))</f>
        <v/>
      </c>
    </row>
    <row r="147">
      <c r="A147" s="2">
        <f>'Catálogo_SI'!A146</f>
        <v/>
      </c>
      <c r="B147" s="2">
        <f>IF('Catálogo_SI'!A146="","",'Catálogo_SI'!B146)</f>
        <v/>
      </c>
      <c r="C147" s="9">
        <f>IF('Catálogo_SI'!A146="","",ROUND(COUNTA('Catálogo_SI'!A146:AR146)/44,2))</f>
        <v/>
      </c>
    </row>
    <row r="148">
      <c r="A148" s="2">
        <f>'Catálogo_SI'!A147</f>
        <v/>
      </c>
      <c r="B148" s="2">
        <f>IF('Catálogo_SI'!A147="","",'Catálogo_SI'!B147)</f>
        <v/>
      </c>
      <c r="C148" s="9">
        <f>IF('Catálogo_SI'!A147="","",ROUND(COUNTA('Catálogo_SI'!A147:AR147)/44,2))</f>
        <v/>
      </c>
    </row>
    <row r="149">
      <c r="A149" s="2">
        <f>'Catálogo_SI'!A148</f>
        <v/>
      </c>
      <c r="B149" s="2">
        <f>IF('Catálogo_SI'!A148="","",'Catálogo_SI'!B148)</f>
        <v/>
      </c>
      <c r="C149" s="9">
        <f>IF('Catálogo_SI'!A148="","",ROUND(COUNTA('Catálogo_SI'!A148:AR148)/44,2))</f>
        <v/>
      </c>
    </row>
    <row r="150">
      <c r="A150" s="2">
        <f>'Catálogo_SI'!A149</f>
        <v/>
      </c>
      <c r="B150" s="2">
        <f>IF('Catálogo_SI'!A149="","",'Catálogo_SI'!B149)</f>
        <v/>
      </c>
      <c r="C150" s="9">
        <f>IF('Catálogo_SI'!A149="","",ROUND(COUNTA('Catálogo_SI'!A149:AR149)/44,2))</f>
        <v/>
      </c>
    </row>
    <row r="151">
      <c r="A151" s="2">
        <f>'Catálogo_SI'!A150</f>
        <v/>
      </c>
      <c r="B151" s="2">
        <f>IF('Catálogo_SI'!A150="","",'Catálogo_SI'!B150)</f>
        <v/>
      </c>
      <c r="C151" s="9">
        <f>IF('Catálogo_SI'!A150="","",ROUND(COUNTA('Catálogo_SI'!A150:AR150)/44,2))</f>
        <v/>
      </c>
    </row>
    <row r="152">
      <c r="A152" s="2">
        <f>'Catálogo_SI'!A151</f>
        <v/>
      </c>
      <c r="B152" s="2">
        <f>IF('Catálogo_SI'!A151="","",'Catálogo_SI'!B151)</f>
        <v/>
      </c>
      <c r="C152" s="9">
        <f>IF('Catálogo_SI'!A151="","",ROUND(COUNTA('Catálogo_SI'!A151:AR151)/44,2))</f>
        <v/>
      </c>
    </row>
    <row r="153">
      <c r="A153" s="2">
        <f>'Catálogo_SI'!A152</f>
        <v/>
      </c>
      <c r="B153" s="2">
        <f>IF('Catálogo_SI'!A152="","",'Catálogo_SI'!B152)</f>
        <v/>
      </c>
      <c r="C153" s="9">
        <f>IF('Catálogo_SI'!A152="","",ROUND(COUNTA('Catálogo_SI'!A152:AR152)/44,2))</f>
        <v/>
      </c>
    </row>
    <row r="154">
      <c r="A154" s="2">
        <f>'Catálogo_SI'!A153</f>
        <v/>
      </c>
      <c r="B154" s="2">
        <f>IF('Catálogo_SI'!A153="","",'Catálogo_SI'!B153)</f>
        <v/>
      </c>
      <c r="C154" s="9">
        <f>IF('Catálogo_SI'!A153="","",ROUND(COUNTA('Catálogo_SI'!A153:AR153)/44,2))</f>
        <v/>
      </c>
    </row>
    <row r="155">
      <c r="A155" s="2">
        <f>'Catálogo_SI'!A154</f>
        <v/>
      </c>
      <c r="B155" s="2">
        <f>IF('Catálogo_SI'!A154="","",'Catálogo_SI'!B154)</f>
        <v/>
      </c>
      <c r="C155" s="9">
        <f>IF('Catálogo_SI'!A154="","",ROUND(COUNTA('Catálogo_SI'!A154:AR154)/44,2))</f>
        <v/>
      </c>
    </row>
    <row r="156">
      <c r="A156" s="2">
        <f>'Catálogo_SI'!A155</f>
        <v/>
      </c>
      <c r="B156" s="2">
        <f>IF('Catálogo_SI'!A155="","",'Catálogo_SI'!B155)</f>
        <v/>
      </c>
      <c r="C156" s="9">
        <f>IF('Catálogo_SI'!A155="","",ROUND(COUNTA('Catálogo_SI'!A155:AR155)/44,2))</f>
        <v/>
      </c>
    </row>
    <row r="157">
      <c r="A157" s="2">
        <f>'Catálogo_SI'!A156</f>
        <v/>
      </c>
      <c r="B157" s="2">
        <f>IF('Catálogo_SI'!A156="","",'Catálogo_SI'!B156)</f>
        <v/>
      </c>
      <c r="C157" s="9">
        <f>IF('Catálogo_SI'!A156="","",ROUND(COUNTA('Catálogo_SI'!A156:AR156)/44,2))</f>
        <v/>
      </c>
    </row>
    <row r="158">
      <c r="A158" s="2">
        <f>'Catálogo_SI'!A157</f>
        <v/>
      </c>
      <c r="B158" s="2">
        <f>IF('Catálogo_SI'!A157="","",'Catálogo_SI'!B157)</f>
        <v/>
      </c>
      <c r="C158" s="9">
        <f>IF('Catálogo_SI'!A157="","",ROUND(COUNTA('Catálogo_SI'!A157:AR157)/44,2))</f>
        <v/>
      </c>
    </row>
    <row r="159">
      <c r="A159" s="2">
        <f>'Catálogo_SI'!A158</f>
        <v/>
      </c>
      <c r="B159" s="2">
        <f>IF('Catálogo_SI'!A158="","",'Catálogo_SI'!B158)</f>
        <v/>
      </c>
      <c r="C159" s="9">
        <f>IF('Catálogo_SI'!A158="","",ROUND(COUNTA('Catálogo_SI'!A158:AR158)/44,2))</f>
        <v/>
      </c>
    </row>
    <row r="160">
      <c r="A160" s="2">
        <f>'Catálogo_SI'!A159</f>
        <v/>
      </c>
      <c r="B160" s="2">
        <f>IF('Catálogo_SI'!A159="","",'Catálogo_SI'!B159)</f>
        <v/>
      </c>
      <c r="C160" s="9">
        <f>IF('Catálogo_SI'!A159="","",ROUND(COUNTA('Catálogo_SI'!A159:AR159)/44,2))</f>
        <v/>
      </c>
    </row>
    <row r="161">
      <c r="A161" s="2">
        <f>'Catálogo_SI'!A160</f>
        <v/>
      </c>
      <c r="B161" s="2">
        <f>IF('Catálogo_SI'!A160="","",'Catálogo_SI'!B160)</f>
        <v/>
      </c>
      <c r="C161" s="9">
        <f>IF('Catálogo_SI'!A160="","",ROUND(COUNTA('Catálogo_SI'!A160:AR160)/44,2))</f>
        <v/>
      </c>
    </row>
    <row r="162">
      <c r="A162" s="2">
        <f>'Catálogo_SI'!A161</f>
        <v/>
      </c>
      <c r="B162" s="2">
        <f>IF('Catálogo_SI'!A161="","",'Catálogo_SI'!B161)</f>
        <v/>
      </c>
      <c r="C162" s="9">
        <f>IF('Catálogo_SI'!A161="","",ROUND(COUNTA('Catálogo_SI'!A161:AR161)/44,2))</f>
        <v/>
      </c>
    </row>
    <row r="163">
      <c r="A163" s="2">
        <f>'Catálogo_SI'!A162</f>
        <v/>
      </c>
      <c r="B163" s="2">
        <f>IF('Catálogo_SI'!A162="","",'Catálogo_SI'!B162)</f>
        <v/>
      </c>
      <c r="C163" s="9">
        <f>IF('Catálogo_SI'!A162="","",ROUND(COUNTA('Catálogo_SI'!A162:AR162)/44,2))</f>
        <v/>
      </c>
    </row>
    <row r="164">
      <c r="A164" s="2">
        <f>'Catálogo_SI'!A163</f>
        <v/>
      </c>
      <c r="B164" s="2">
        <f>IF('Catálogo_SI'!A163="","",'Catálogo_SI'!B163)</f>
        <v/>
      </c>
      <c r="C164" s="9">
        <f>IF('Catálogo_SI'!A163="","",ROUND(COUNTA('Catálogo_SI'!A163:AR163)/44,2))</f>
        <v/>
      </c>
    </row>
    <row r="165">
      <c r="A165" s="2">
        <f>'Catálogo_SI'!A164</f>
        <v/>
      </c>
      <c r="B165" s="2">
        <f>IF('Catálogo_SI'!A164="","",'Catálogo_SI'!B164)</f>
        <v/>
      </c>
      <c r="C165" s="9">
        <f>IF('Catálogo_SI'!A164="","",ROUND(COUNTA('Catálogo_SI'!A164:AR164)/44,2))</f>
        <v/>
      </c>
    </row>
    <row r="166">
      <c r="A166" s="2">
        <f>'Catálogo_SI'!A165</f>
        <v/>
      </c>
      <c r="B166" s="2">
        <f>IF('Catálogo_SI'!A165="","",'Catálogo_SI'!B165)</f>
        <v/>
      </c>
      <c r="C166" s="9">
        <f>IF('Catálogo_SI'!A165="","",ROUND(COUNTA('Catálogo_SI'!A165:AR165)/44,2))</f>
        <v/>
      </c>
    </row>
    <row r="167">
      <c r="A167" s="2">
        <f>'Catálogo_SI'!A166</f>
        <v/>
      </c>
      <c r="B167" s="2">
        <f>IF('Catálogo_SI'!A166="","",'Catálogo_SI'!B166)</f>
        <v/>
      </c>
      <c r="C167" s="9">
        <f>IF('Catálogo_SI'!A166="","",ROUND(COUNTA('Catálogo_SI'!A166:AR166)/44,2))</f>
        <v/>
      </c>
    </row>
    <row r="168">
      <c r="A168" s="2">
        <f>'Catálogo_SI'!A167</f>
        <v/>
      </c>
      <c r="B168" s="2">
        <f>IF('Catálogo_SI'!A167="","",'Catálogo_SI'!B167)</f>
        <v/>
      </c>
      <c r="C168" s="9">
        <f>IF('Catálogo_SI'!A167="","",ROUND(COUNTA('Catálogo_SI'!A167:AR167)/44,2))</f>
        <v/>
      </c>
    </row>
    <row r="169">
      <c r="A169" s="2">
        <f>'Catálogo_SI'!A168</f>
        <v/>
      </c>
      <c r="B169" s="2">
        <f>IF('Catálogo_SI'!A168="","",'Catálogo_SI'!B168)</f>
        <v/>
      </c>
      <c r="C169" s="9">
        <f>IF('Catálogo_SI'!A168="","",ROUND(COUNTA('Catálogo_SI'!A168:AR168)/44,2))</f>
        <v/>
      </c>
    </row>
    <row r="170">
      <c r="A170" s="2">
        <f>'Catálogo_SI'!A169</f>
        <v/>
      </c>
      <c r="B170" s="2">
        <f>IF('Catálogo_SI'!A169="","",'Catálogo_SI'!B169)</f>
        <v/>
      </c>
      <c r="C170" s="9">
        <f>IF('Catálogo_SI'!A169="","",ROUND(COUNTA('Catálogo_SI'!A169:AR169)/44,2))</f>
        <v/>
      </c>
    </row>
    <row r="171">
      <c r="A171" s="2">
        <f>'Catálogo_SI'!A170</f>
        <v/>
      </c>
      <c r="B171" s="2">
        <f>IF('Catálogo_SI'!A170="","",'Catálogo_SI'!B170)</f>
        <v/>
      </c>
      <c r="C171" s="9">
        <f>IF('Catálogo_SI'!A170="","",ROUND(COUNTA('Catálogo_SI'!A170:AR170)/44,2))</f>
        <v/>
      </c>
    </row>
    <row r="172">
      <c r="A172" s="2">
        <f>'Catálogo_SI'!A171</f>
        <v/>
      </c>
      <c r="B172" s="2">
        <f>IF('Catálogo_SI'!A171="","",'Catálogo_SI'!B171)</f>
        <v/>
      </c>
      <c r="C172" s="9">
        <f>IF('Catálogo_SI'!A171="","",ROUND(COUNTA('Catálogo_SI'!A171:AR171)/44,2))</f>
        <v/>
      </c>
    </row>
    <row r="173">
      <c r="A173" s="2">
        <f>'Catálogo_SI'!A172</f>
        <v/>
      </c>
      <c r="B173" s="2">
        <f>IF('Catálogo_SI'!A172="","",'Catálogo_SI'!B172)</f>
        <v/>
      </c>
      <c r="C173" s="9">
        <f>IF('Catálogo_SI'!A172="","",ROUND(COUNTA('Catálogo_SI'!A172:AR172)/44,2))</f>
        <v/>
      </c>
    </row>
    <row r="174">
      <c r="A174" s="2">
        <f>'Catálogo_SI'!A173</f>
        <v/>
      </c>
      <c r="B174" s="2">
        <f>IF('Catálogo_SI'!A173="","",'Catálogo_SI'!B173)</f>
        <v/>
      </c>
      <c r="C174" s="9">
        <f>IF('Catálogo_SI'!A173="","",ROUND(COUNTA('Catálogo_SI'!A173:AR173)/44,2))</f>
        <v/>
      </c>
    </row>
    <row r="175">
      <c r="A175" s="2">
        <f>'Catálogo_SI'!A174</f>
        <v/>
      </c>
      <c r="B175" s="2">
        <f>IF('Catálogo_SI'!A174="","",'Catálogo_SI'!B174)</f>
        <v/>
      </c>
      <c r="C175" s="9">
        <f>IF('Catálogo_SI'!A174="","",ROUND(COUNTA('Catálogo_SI'!A174:AR174)/44,2))</f>
        <v/>
      </c>
    </row>
    <row r="176">
      <c r="A176" s="2">
        <f>'Catálogo_SI'!A175</f>
        <v/>
      </c>
      <c r="B176" s="2">
        <f>IF('Catálogo_SI'!A175="","",'Catálogo_SI'!B175)</f>
        <v/>
      </c>
      <c r="C176" s="9">
        <f>IF('Catálogo_SI'!A175="","",ROUND(COUNTA('Catálogo_SI'!A175:AR175)/44,2))</f>
        <v/>
      </c>
    </row>
    <row r="177">
      <c r="A177" s="2">
        <f>'Catálogo_SI'!A176</f>
        <v/>
      </c>
      <c r="B177" s="2">
        <f>IF('Catálogo_SI'!A176="","",'Catálogo_SI'!B176)</f>
        <v/>
      </c>
      <c r="C177" s="9">
        <f>IF('Catálogo_SI'!A176="","",ROUND(COUNTA('Catálogo_SI'!A176:AR176)/44,2))</f>
        <v/>
      </c>
    </row>
    <row r="178">
      <c r="A178" s="2">
        <f>'Catálogo_SI'!A177</f>
        <v/>
      </c>
      <c r="B178" s="2">
        <f>IF('Catálogo_SI'!A177="","",'Catálogo_SI'!B177)</f>
        <v/>
      </c>
      <c r="C178" s="9">
        <f>IF('Catálogo_SI'!A177="","",ROUND(COUNTA('Catálogo_SI'!A177:AR177)/44,2))</f>
        <v/>
      </c>
    </row>
    <row r="179">
      <c r="A179" s="2">
        <f>'Catálogo_SI'!A178</f>
        <v/>
      </c>
      <c r="B179" s="2">
        <f>IF('Catálogo_SI'!A178="","",'Catálogo_SI'!B178)</f>
        <v/>
      </c>
      <c r="C179" s="9">
        <f>IF('Catálogo_SI'!A178="","",ROUND(COUNTA('Catálogo_SI'!A178:AR178)/44,2))</f>
        <v/>
      </c>
    </row>
    <row r="180">
      <c r="A180" s="2">
        <f>'Catálogo_SI'!A179</f>
        <v/>
      </c>
      <c r="B180" s="2">
        <f>IF('Catálogo_SI'!A179="","",'Catálogo_SI'!B179)</f>
        <v/>
      </c>
      <c r="C180" s="9">
        <f>IF('Catálogo_SI'!A179="","",ROUND(COUNTA('Catálogo_SI'!A179:AR179)/44,2))</f>
        <v/>
      </c>
    </row>
    <row r="181">
      <c r="A181" s="2">
        <f>'Catálogo_SI'!A180</f>
        <v/>
      </c>
      <c r="B181" s="2">
        <f>IF('Catálogo_SI'!A180="","",'Catálogo_SI'!B180)</f>
        <v/>
      </c>
      <c r="C181" s="9">
        <f>IF('Catálogo_SI'!A180="","",ROUND(COUNTA('Catálogo_SI'!A180:AR180)/44,2))</f>
        <v/>
      </c>
    </row>
    <row r="182">
      <c r="A182" s="2">
        <f>'Catálogo_SI'!A181</f>
        <v/>
      </c>
      <c r="B182" s="2">
        <f>IF('Catálogo_SI'!A181="","",'Catálogo_SI'!B181)</f>
        <v/>
      </c>
      <c r="C182" s="9">
        <f>IF('Catálogo_SI'!A181="","",ROUND(COUNTA('Catálogo_SI'!A181:AR181)/44,2))</f>
        <v/>
      </c>
    </row>
    <row r="183">
      <c r="A183" s="2">
        <f>'Catálogo_SI'!A182</f>
        <v/>
      </c>
      <c r="B183" s="2">
        <f>IF('Catálogo_SI'!A182="","",'Catálogo_SI'!B182)</f>
        <v/>
      </c>
      <c r="C183" s="9">
        <f>IF('Catálogo_SI'!A182="","",ROUND(COUNTA('Catálogo_SI'!A182:AR182)/44,2))</f>
        <v/>
      </c>
    </row>
    <row r="184">
      <c r="A184" s="2">
        <f>'Catálogo_SI'!A183</f>
        <v/>
      </c>
      <c r="B184" s="2">
        <f>IF('Catálogo_SI'!A183="","",'Catálogo_SI'!B183)</f>
        <v/>
      </c>
      <c r="C184" s="9">
        <f>IF('Catálogo_SI'!A183="","",ROUND(COUNTA('Catálogo_SI'!A183:AR183)/44,2))</f>
        <v/>
      </c>
    </row>
    <row r="185">
      <c r="A185" s="2">
        <f>'Catálogo_SI'!A184</f>
        <v/>
      </c>
      <c r="B185" s="2">
        <f>IF('Catálogo_SI'!A184="","",'Catálogo_SI'!B184)</f>
        <v/>
      </c>
      <c r="C185" s="9">
        <f>IF('Catálogo_SI'!A184="","",ROUND(COUNTA('Catálogo_SI'!A184:AR184)/44,2))</f>
        <v/>
      </c>
    </row>
    <row r="186">
      <c r="A186" s="2">
        <f>'Catálogo_SI'!A185</f>
        <v/>
      </c>
      <c r="B186" s="2">
        <f>IF('Catálogo_SI'!A185="","",'Catálogo_SI'!B185)</f>
        <v/>
      </c>
      <c r="C186" s="9">
        <f>IF('Catálogo_SI'!A185="","",ROUND(COUNTA('Catálogo_SI'!A185:AR185)/44,2))</f>
        <v/>
      </c>
    </row>
    <row r="187">
      <c r="A187" s="2">
        <f>'Catálogo_SI'!A186</f>
        <v/>
      </c>
      <c r="B187" s="2">
        <f>IF('Catálogo_SI'!A186="","",'Catálogo_SI'!B186)</f>
        <v/>
      </c>
      <c r="C187" s="9">
        <f>IF('Catálogo_SI'!A186="","",ROUND(COUNTA('Catálogo_SI'!A186:AR186)/44,2))</f>
        <v/>
      </c>
    </row>
    <row r="188">
      <c r="A188" s="2">
        <f>'Catálogo_SI'!A187</f>
        <v/>
      </c>
      <c r="B188" s="2">
        <f>IF('Catálogo_SI'!A187="","",'Catálogo_SI'!B187)</f>
        <v/>
      </c>
      <c r="C188" s="9">
        <f>IF('Catálogo_SI'!A187="","",ROUND(COUNTA('Catálogo_SI'!A187:AR187)/44,2))</f>
        <v/>
      </c>
    </row>
    <row r="189">
      <c r="A189" s="2">
        <f>'Catálogo_SI'!A188</f>
        <v/>
      </c>
      <c r="B189" s="2">
        <f>IF('Catálogo_SI'!A188="","",'Catálogo_SI'!B188)</f>
        <v/>
      </c>
      <c r="C189" s="9">
        <f>IF('Catálogo_SI'!A188="","",ROUND(COUNTA('Catálogo_SI'!A188:AR188)/44,2))</f>
        <v/>
      </c>
    </row>
    <row r="190">
      <c r="A190" s="2">
        <f>'Catálogo_SI'!A189</f>
        <v/>
      </c>
      <c r="B190" s="2">
        <f>IF('Catálogo_SI'!A189="","",'Catálogo_SI'!B189)</f>
        <v/>
      </c>
      <c r="C190" s="9">
        <f>IF('Catálogo_SI'!A189="","",ROUND(COUNTA('Catálogo_SI'!A189:AR189)/44,2))</f>
        <v/>
      </c>
    </row>
    <row r="191">
      <c r="A191" s="2">
        <f>'Catálogo_SI'!A190</f>
        <v/>
      </c>
      <c r="B191" s="2">
        <f>IF('Catálogo_SI'!A190="","",'Catálogo_SI'!B190)</f>
        <v/>
      </c>
      <c r="C191" s="9">
        <f>IF('Catálogo_SI'!A190="","",ROUND(COUNTA('Catálogo_SI'!A190:AR190)/44,2))</f>
        <v/>
      </c>
    </row>
    <row r="192">
      <c r="A192" s="2">
        <f>'Catálogo_SI'!A191</f>
        <v/>
      </c>
      <c r="B192" s="2">
        <f>IF('Catálogo_SI'!A191="","",'Catálogo_SI'!B191)</f>
        <v/>
      </c>
      <c r="C192" s="9">
        <f>IF('Catálogo_SI'!A191="","",ROUND(COUNTA('Catálogo_SI'!A191:AR191)/44,2))</f>
        <v/>
      </c>
    </row>
    <row r="193">
      <c r="A193" s="2">
        <f>'Catálogo_SI'!A192</f>
        <v/>
      </c>
      <c r="B193" s="2">
        <f>IF('Catálogo_SI'!A192="","",'Catálogo_SI'!B192)</f>
        <v/>
      </c>
      <c r="C193" s="9">
        <f>IF('Catálogo_SI'!A192="","",ROUND(COUNTA('Catálogo_SI'!A192:AR192)/44,2))</f>
        <v/>
      </c>
    </row>
    <row r="194">
      <c r="A194" s="2">
        <f>'Catálogo_SI'!A193</f>
        <v/>
      </c>
      <c r="B194" s="2">
        <f>IF('Catálogo_SI'!A193="","",'Catálogo_SI'!B193)</f>
        <v/>
      </c>
      <c r="C194" s="9">
        <f>IF('Catálogo_SI'!A193="","",ROUND(COUNTA('Catálogo_SI'!A193:AR193)/44,2))</f>
        <v/>
      </c>
    </row>
    <row r="195">
      <c r="A195" s="2">
        <f>'Catálogo_SI'!A194</f>
        <v/>
      </c>
      <c r="B195" s="2">
        <f>IF('Catálogo_SI'!A194="","",'Catálogo_SI'!B194)</f>
        <v/>
      </c>
      <c r="C195" s="9">
        <f>IF('Catálogo_SI'!A194="","",ROUND(COUNTA('Catálogo_SI'!A194:AR194)/44,2))</f>
        <v/>
      </c>
    </row>
    <row r="196">
      <c r="A196" s="2">
        <f>'Catálogo_SI'!A195</f>
        <v/>
      </c>
      <c r="B196" s="2">
        <f>IF('Catálogo_SI'!A195="","",'Catálogo_SI'!B195)</f>
        <v/>
      </c>
      <c r="C196" s="9">
        <f>IF('Catálogo_SI'!A195="","",ROUND(COUNTA('Catálogo_SI'!A195:AR195)/44,2))</f>
        <v/>
      </c>
    </row>
    <row r="197">
      <c r="A197" s="2">
        <f>'Catálogo_SI'!A196</f>
        <v/>
      </c>
      <c r="B197" s="2">
        <f>IF('Catálogo_SI'!A196="","",'Catálogo_SI'!B196)</f>
        <v/>
      </c>
      <c r="C197" s="9">
        <f>IF('Catálogo_SI'!A196="","",ROUND(COUNTA('Catálogo_SI'!A196:AR196)/44,2))</f>
        <v/>
      </c>
    </row>
    <row r="198">
      <c r="A198" s="2">
        <f>'Catálogo_SI'!A197</f>
        <v/>
      </c>
      <c r="B198" s="2">
        <f>IF('Catálogo_SI'!A197="","",'Catálogo_SI'!B197)</f>
        <v/>
      </c>
      <c r="C198" s="9">
        <f>IF('Catálogo_SI'!A197="","",ROUND(COUNTA('Catálogo_SI'!A197:AR197)/44,2))</f>
        <v/>
      </c>
    </row>
    <row r="199">
      <c r="A199" s="2">
        <f>'Catálogo_SI'!A198</f>
        <v/>
      </c>
      <c r="B199" s="2">
        <f>IF('Catálogo_SI'!A198="","",'Catálogo_SI'!B198)</f>
        <v/>
      </c>
      <c r="C199" s="9">
        <f>IF('Catálogo_SI'!A198="","",ROUND(COUNTA('Catálogo_SI'!A198:AR198)/44,2))</f>
        <v/>
      </c>
    </row>
    <row r="200">
      <c r="A200" s="2">
        <f>'Catálogo_SI'!A199</f>
        <v/>
      </c>
      <c r="B200" s="2">
        <f>IF('Catálogo_SI'!A199="","",'Catálogo_SI'!B199)</f>
        <v/>
      </c>
      <c r="C200" s="9">
        <f>IF('Catálogo_SI'!A199="","",ROUND(COUNTA('Catálogo_SI'!A199:AR199)/44,2))</f>
        <v/>
      </c>
    </row>
    <row r="201">
      <c r="A201" s="2">
        <f>'Catálogo_SI'!A200</f>
        <v/>
      </c>
      <c r="B201" s="2">
        <f>IF('Catálogo_SI'!A200="","",'Catálogo_SI'!B200)</f>
        <v/>
      </c>
      <c r="C201" s="9">
        <f>IF('Catálogo_SI'!A200="","",ROUND(COUNTA('Catálogo_SI'!A200:AR200)/44,2))</f>
        <v/>
      </c>
    </row>
    <row r="202">
      <c r="A202" s="2">
        <f>'Catálogo_SI'!A201</f>
        <v/>
      </c>
      <c r="B202" s="2">
        <f>IF('Catálogo_SI'!A201="","",'Catálogo_SI'!B201)</f>
        <v/>
      </c>
      <c r="C202" s="9">
        <f>IF('Catálogo_SI'!A201="","",ROUND(COUNTA('Catálogo_SI'!A201:AR201)/44,2))</f>
        <v/>
      </c>
    </row>
    <row r="203">
      <c r="A203" s="2">
        <f>'Catálogo_SI'!A202</f>
        <v/>
      </c>
      <c r="B203" s="2">
        <f>IF('Catálogo_SI'!A202="","",'Catálogo_SI'!B202)</f>
        <v/>
      </c>
      <c r="C203" s="9">
        <f>IF('Catálogo_SI'!A202="","",ROUND(COUNTA('Catálogo_SI'!A202:AR202)/44,2))</f>
        <v/>
      </c>
    </row>
    <row r="204">
      <c r="A204" s="2">
        <f>'Catálogo_SI'!A203</f>
        <v/>
      </c>
      <c r="B204" s="2">
        <f>IF('Catálogo_SI'!A203="","",'Catálogo_SI'!B203)</f>
        <v/>
      </c>
      <c r="C204" s="9">
        <f>IF('Catálogo_SI'!A203="","",ROUND(COUNTA('Catálogo_SI'!A203:AR203)/44,2))</f>
        <v/>
      </c>
    </row>
    <row r="205">
      <c r="A205" s="2">
        <f>'Catálogo_SI'!A204</f>
        <v/>
      </c>
      <c r="B205" s="2">
        <f>IF('Catálogo_SI'!A204="","",'Catálogo_SI'!B204)</f>
        <v/>
      </c>
      <c r="C205" s="9">
        <f>IF('Catálogo_SI'!A204="","",ROUND(COUNTA('Catálogo_SI'!A204:AR204)/44,2))</f>
        <v/>
      </c>
    </row>
    <row r="206">
      <c r="A206" s="2">
        <f>'Catálogo_SI'!A205</f>
        <v/>
      </c>
      <c r="B206" s="2">
        <f>IF('Catálogo_SI'!A205="","",'Catálogo_SI'!B205)</f>
        <v/>
      </c>
      <c r="C206" s="9">
        <f>IF('Catálogo_SI'!A205="","",ROUND(COUNTA('Catálogo_SI'!A205:AR205)/44,2))</f>
        <v/>
      </c>
    </row>
    <row r="207">
      <c r="A207" s="2">
        <f>'Catálogo_SI'!A206</f>
        <v/>
      </c>
      <c r="B207" s="2">
        <f>IF('Catálogo_SI'!A206="","",'Catálogo_SI'!B206)</f>
        <v/>
      </c>
      <c r="C207" s="9">
        <f>IF('Catálogo_SI'!A206="","",ROUND(COUNTA('Catálogo_SI'!A206:AR206)/44,2))</f>
        <v/>
      </c>
    </row>
    <row r="208">
      <c r="A208" s="2">
        <f>'Catálogo_SI'!A207</f>
        <v/>
      </c>
      <c r="B208" s="2">
        <f>IF('Catálogo_SI'!A207="","",'Catálogo_SI'!B207)</f>
        <v/>
      </c>
      <c r="C208" s="9">
        <f>IF('Catálogo_SI'!A207="","",ROUND(COUNTA('Catálogo_SI'!A207:AR207)/44,2))</f>
        <v/>
      </c>
    </row>
    <row r="209">
      <c r="A209" s="2">
        <f>'Catálogo_SI'!A208</f>
        <v/>
      </c>
      <c r="B209" s="2">
        <f>IF('Catálogo_SI'!A208="","",'Catálogo_SI'!B208)</f>
        <v/>
      </c>
      <c r="C209" s="9">
        <f>IF('Catálogo_SI'!A208="","",ROUND(COUNTA('Catálogo_SI'!A208:AR208)/44,2))</f>
        <v/>
      </c>
    </row>
    <row r="210">
      <c r="A210" s="2">
        <f>'Catálogo_SI'!A209</f>
        <v/>
      </c>
      <c r="B210" s="2">
        <f>IF('Catálogo_SI'!A209="","",'Catálogo_SI'!B209)</f>
        <v/>
      </c>
      <c r="C210" s="9">
        <f>IF('Catálogo_SI'!A209="","",ROUND(COUNTA('Catálogo_SI'!A209:AR209)/44,2))</f>
        <v/>
      </c>
    </row>
    <row r="211">
      <c r="A211" s="2">
        <f>'Catálogo_SI'!A210</f>
        <v/>
      </c>
      <c r="B211" s="2">
        <f>IF('Catálogo_SI'!A210="","",'Catálogo_SI'!B210)</f>
        <v/>
      </c>
      <c r="C211" s="9">
        <f>IF('Catálogo_SI'!A210="","",ROUND(COUNTA('Catálogo_SI'!A210:AR210)/44,2))</f>
        <v/>
      </c>
    </row>
    <row r="212">
      <c r="A212" s="2">
        <f>'Catálogo_SI'!A211</f>
        <v/>
      </c>
      <c r="B212" s="2">
        <f>IF('Catálogo_SI'!A211="","",'Catálogo_SI'!B211)</f>
        <v/>
      </c>
      <c r="C212" s="9">
        <f>IF('Catálogo_SI'!A211="","",ROUND(COUNTA('Catálogo_SI'!A211:AR211)/44,2))</f>
        <v/>
      </c>
    </row>
    <row r="213">
      <c r="A213" s="2">
        <f>'Catálogo_SI'!A212</f>
        <v/>
      </c>
      <c r="B213" s="2">
        <f>IF('Catálogo_SI'!A212="","",'Catálogo_SI'!B212)</f>
        <v/>
      </c>
      <c r="C213" s="9">
        <f>IF('Catálogo_SI'!A212="","",ROUND(COUNTA('Catálogo_SI'!A212:AR212)/44,2))</f>
        <v/>
      </c>
    </row>
    <row r="214">
      <c r="A214" s="2">
        <f>'Catálogo_SI'!A213</f>
        <v/>
      </c>
      <c r="B214" s="2">
        <f>IF('Catálogo_SI'!A213="","",'Catálogo_SI'!B213)</f>
        <v/>
      </c>
      <c r="C214" s="9">
        <f>IF('Catálogo_SI'!A213="","",ROUND(COUNTA('Catálogo_SI'!A213:AR213)/44,2))</f>
        <v/>
      </c>
    </row>
    <row r="215">
      <c r="A215" s="2">
        <f>'Catálogo_SI'!A214</f>
        <v/>
      </c>
      <c r="B215" s="2">
        <f>IF('Catálogo_SI'!A214="","",'Catálogo_SI'!B214)</f>
        <v/>
      </c>
      <c r="C215" s="9">
        <f>IF('Catálogo_SI'!A214="","",ROUND(COUNTA('Catálogo_SI'!A214:AR214)/44,2))</f>
        <v/>
      </c>
    </row>
    <row r="216">
      <c r="A216" s="2">
        <f>'Catálogo_SI'!A215</f>
        <v/>
      </c>
      <c r="B216" s="2">
        <f>IF('Catálogo_SI'!A215="","",'Catálogo_SI'!B215)</f>
        <v/>
      </c>
      <c r="C216" s="9">
        <f>IF('Catálogo_SI'!A215="","",ROUND(COUNTA('Catálogo_SI'!A215:AR215)/44,2))</f>
        <v/>
      </c>
    </row>
    <row r="217">
      <c r="A217" s="2">
        <f>'Catálogo_SI'!A216</f>
        <v/>
      </c>
      <c r="B217" s="2">
        <f>IF('Catálogo_SI'!A216="","",'Catálogo_SI'!B216)</f>
        <v/>
      </c>
      <c r="C217" s="9">
        <f>IF('Catálogo_SI'!A216="","",ROUND(COUNTA('Catálogo_SI'!A216:AR216)/44,2))</f>
        <v/>
      </c>
    </row>
    <row r="218">
      <c r="A218" s="2">
        <f>'Catálogo_SI'!A217</f>
        <v/>
      </c>
      <c r="B218" s="2">
        <f>IF('Catálogo_SI'!A217="","",'Catálogo_SI'!B217)</f>
        <v/>
      </c>
      <c r="C218" s="9">
        <f>IF('Catálogo_SI'!A217="","",ROUND(COUNTA('Catálogo_SI'!A217:AR217)/44,2))</f>
        <v/>
      </c>
    </row>
    <row r="219">
      <c r="A219" s="2">
        <f>'Catálogo_SI'!A218</f>
        <v/>
      </c>
      <c r="B219" s="2">
        <f>IF('Catálogo_SI'!A218="","",'Catálogo_SI'!B218)</f>
        <v/>
      </c>
      <c r="C219" s="9">
        <f>IF('Catálogo_SI'!A218="","",ROUND(COUNTA('Catálogo_SI'!A218:AR218)/44,2))</f>
        <v/>
      </c>
    </row>
    <row r="220">
      <c r="A220" s="2">
        <f>'Catálogo_SI'!A219</f>
        <v/>
      </c>
      <c r="B220" s="2">
        <f>IF('Catálogo_SI'!A219="","",'Catálogo_SI'!B219)</f>
        <v/>
      </c>
      <c r="C220" s="9">
        <f>IF('Catálogo_SI'!A219="","",ROUND(COUNTA('Catálogo_SI'!A219:AR219)/44,2))</f>
        <v/>
      </c>
    </row>
    <row r="221">
      <c r="A221" s="2">
        <f>'Catálogo_SI'!A220</f>
        <v/>
      </c>
      <c r="B221" s="2">
        <f>IF('Catálogo_SI'!A220="","",'Catálogo_SI'!B220)</f>
        <v/>
      </c>
      <c r="C221" s="9">
        <f>IF('Catálogo_SI'!A220="","",ROUND(COUNTA('Catálogo_SI'!A220:AR220)/44,2))</f>
        <v/>
      </c>
    </row>
    <row r="222">
      <c r="A222" s="2">
        <f>'Catálogo_SI'!A221</f>
        <v/>
      </c>
      <c r="B222" s="2">
        <f>IF('Catálogo_SI'!A221="","",'Catálogo_SI'!B221)</f>
        <v/>
      </c>
      <c r="C222" s="9">
        <f>IF('Catálogo_SI'!A221="","",ROUND(COUNTA('Catálogo_SI'!A221:AR221)/44,2))</f>
        <v/>
      </c>
    </row>
    <row r="223">
      <c r="A223" s="2">
        <f>'Catálogo_SI'!A222</f>
        <v/>
      </c>
      <c r="B223" s="2">
        <f>IF('Catálogo_SI'!A222="","",'Catálogo_SI'!B222)</f>
        <v/>
      </c>
      <c r="C223" s="9">
        <f>IF('Catálogo_SI'!A222="","",ROUND(COUNTA('Catálogo_SI'!A222:AR222)/44,2))</f>
        <v/>
      </c>
    </row>
    <row r="224">
      <c r="A224" s="2">
        <f>'Catálogo_SI'!A223</f>
        <v/>
      </c>
      <c r="B224" s="2">
        <f>IF('Catálogo_SI'!A223="","",'Catálogo_SI'!B223)</f>
        <v/>
      </c>
      <c r="C224" s="9">
        <f>IF('Catálogo_SI'!A223="","",ROUND(COUNTA('Catálogo_SI'!A223:AR223)/44,2))</f>
        <v/>
      </c>
    </row>
    <row r="225">
      <c r="A225" s="2">
        <f>'Catálogo_SI'!A224</f>
        <v/>
      </c>
      <c r="B225" s="2">
        <f>IF('Catálogo_SI'!A224="","",'Catálogo_SI'!B224)</f>
        <v/>
      </c>
      <c r="C225" s="9">
        <f>IF('Catálogo_SI'!A224="","",ROUND(COUNTA('Catálogo_SI'!A224:AR224)/44,2))</f>
        <v/>
      </c>
    </row>
    <row r="226">
      <c r="A226" s="2">
        <f>'Catálogo_SI'!A225</f>
        <v/>
      </c>
      <c r="B226" s="2">
        <f>IF('Catálogo_SI'!A225="","",'Catálogo_SI'!B225)</f>
        <v/>
      </c>
      <c r="C226" s="9">
        <f>IF('Catálogo_SI'!A225="","",ROUND(COUNTA('Catálogo_SI'!A225:AR225)/44,2))</f>
        <v/>
      </c>
    </row>
    <row r="227">
      <c r="A227" s="2">
        <f>'Catálogo_SI'!A226</f>
        <v/>
      </c>
      <c r="B227" s="2">
        <f>IF('Catálogo_SI'!A226="","",'Catálogo_SI'!B226)</f>
        <v/>
      </c>
      <c r="C227" s="9">
        <f>IF('Catálogo_SI'!A226="","",ROUND(COUNTA('Catálogo_SI'!A226:AR226)/44,2))</f>
        <v/>
      </c>
    </row>
    <row r="228">
      <c r="A228" s="2">
        <f>'Catálogo_SI'!A227</f>
        <v/>
      </c>
      <c r="B228" s="2">
        <f>IF('Catálogo_SI'!A227="","",'Catálogo_SI'!B227)</f>
        <v/>
      </c>
      <c r="C228" s="9">
        <f>IF('Catálogo_SI'!A227="","",ROUND(COUNTA('Catálogo_SI'!A227:AR227)/44,2))</f>
        <v/>
      </c>
    </row>
    <row r="229">
      <c r="A229" s="2">
        <f>'Catálogo_SI'!A228</f>
        <v/>
      </c>
      <c r="B229" s="2">
        <f>IF('Catálogo_SI'!A228="","",'Catálogo_SI'!B228)</f>
        <v/>
      </c>
      <c r="C229" s="9">
        <f>IF('Catálogo_SI'!A228="","",ROUND(COUNTA('Catálogo_SI'!A228:AR228)/44,2))</f>
        <v/>
      </c>
    </row>
    <row r="230">
      <c r="A230" s="2">
        <f>'Catálogo_SI'!A229</f>
        <v/>
      </c>
      <c r="B230" s="2">
        <f>IF('Catálogo_SI'!A229="","",'Catálogo_SI'!B229)</f>
        <v/>
      </c>
      <c r="C230" s="9">
        <f>IF('Catálogo_SI'!A229="","",ROUND(COUNTA('Catálogo_SI'!A229:AR229)/44,2))</f>
        <v/>
      </c>
    </row>
    <row r="231">
      <c r="A231" s="2">
        <f>'Catálogo_SI'!A230</f>
        <v/>
      </c>
      <c r="B231" s="2">
        <f>IF('Catálogo_SI'!A230="","",'Catálogo_SI'!B230)</f>
        <v/>
      </c>
      <c r="C231" s="9">
        <f>IF('Catálogo_SI'!A230="","",ROUND(COUNTA('Catálogo_SI'!A230:AR230)/44,2))</f>
        <v/>
      </c>
    </row>
    <row r="232">
      <c r="A232" s="2">
        <f>'Catálogo_SI'!A231</f>
        <v/>
      </c>
      <c r="B232" s="2">
        <f>IF('Catálogo_SI'!A231="","",'Catálogo_SI'!B231)</f>
        <v/>
      </c>
      <c r="C232" s="9">
        <f>IF('Catálogo_SI'!A231="","",ROUND(COUNTA('Catálogo_SI'!A231:AR231)/44,2))</f>
        <v/>
      </c>
    </row>
    <row r="233">
      <c r="A233" s="2">
        <f>'Catálogo_SI'!A232</f>
        <v/>
      </c>
      <c r="B233" s="2">
        <f>IF('Catálogo_SI'!A232="","",'Catálogo_SI'!B232)</f>
        <v/>
      </c>
      <c r="C233" s="9">
        <f>IF('Catálogo_SI'!A232="","",ROUND(COUNTA('Catálogo_SI'!A232:AR232)/44,2))</f>
        <v/>
      </c>
    </row>
    <row r="234">
      <c r="A234" s="2">
        <f>'Catálogo_SI'!A233</f>
        <v/>
      </c>
      <c r="B234" s="2">
        <f>IF('Catálogo_SI'!A233="","",'Catálogo_SI'!B233)</f>
        <v/>
      </c>
      <c r="C234" s="9">
        <f>IF('Catálogo_SI'!A233="","",ROUND(COUNTA('Catálogo_SI'!A233:AR233)/44,2))</f>
        <v/>
      </c>
    </row>
    <row r="235">
      <c r="A235" s="2">
        <f>'Catálogo_SI'!A234</f>
        <v/>
      </c>
      <c r="B235" s="2">
        <f>IF('Catálogo_SI'!A234="","",'Catálogo_SI'!B234)</f>
        <v/>
      </c>
      <c r="C235" s="9">
        <f>IF('Catálogo_SI'!A234="","",ROUND(COUNTA('Catálogo_SI'!A234:AR234)/44,2))</f>
        <v/>
      </c>
    </row>
    <row r="236">
      <c r="A236" s="2">
        <f>'Catálogo_SI'!A235</f>
        <v/>
      </c>
      <c r="B236" s="2">
        <f>IF('Catálogo_SI'!A235="","",'Catálogo_SI'!B235)</f>
        <v/>
      </c>
      <c r="C236" s="9">
        <f>IF('Catálogo_SI'!A235="","",ROUND(COUNTA('Catálogo_SI'!A235:AR235)/44,2))</f>
        <v/>
      </c>
    </row>
    <row r="237">
      <c r="A237" s="2">
        <f>'Catálogo_SI'!A236</f>
        <v/>
      </c>
      <c r="B237" s="2">
        <f>IF('Catálogo_SI'!A236="","",'Catálogo_SI'!B236)</f>
        <v/>
      </c>
      <c r="C237" s="9">
        <f>IF('Catálogo_SI'!A236="","",ROUND(COUNTA('Catálogo_SI'!A236:AR236)/44,2))</f>
        <v/>
      </c>
    </row>
    <row r="238">
      <c r="A238" s="2">
        <f>'Catálogo_SI'!A237</f>
        <v/>
      </c>
      <c r="B238" s="2">
        <f>IF('Catálogo_SI'!A237="","",'Catálogo_SI'!B237)</f>
        <v/>
      </c>
      <c r="C238" s="9">
        <f>IF('Catálogo_SI'!A237="","",ROUND(COUNTA('Catálogo_SI'!A237:AR237)/44,2))</f>
        <v/>
      </c>
    </row>
    <row r="239">
      <c r="A239" s="2">
        <f>'Catálogo_SI'!A238</f>
        <v/>
      </c>
      <c r="B239" s="2">
        <f>IF('Catálogo_SI'!A238="","",'Catálogo_SI'!B238)</f>
        <v/>
      </c>
      <c r="C239" s="9">
        <f>IF('Catálogo_SI'!A238="","",ROUND(COUNTA('Catálogo_SI'!A238:AR238)/44,2))</f>
        <v/>
      </c>
    </row>
    <row r="240">
      <c r="A240" s="2">
        <f>'Catálogo_SI'!A239</f>
        <v/>
      </c>
      <c r="B240" s="2">
        <f>IF('Catálogo_SI'!A239="","",'Catálogo_SI'!B239)</f>
        <v/>
      </c>
      <c r="C240" s="9">
        <f>IF('Catálogo_SI'!A239="","",ROUND(COUNTA('Catálogo_SI'!A239:AR239)/44,2))</f>
        <v/>
      </c>
    </row>
    <row r="241">
      <c r="A241" s="2">
        <f>'Catálogo_SI'!A240</f>
        <v/>
      </c>
      <c r="B241" s="2">
        <f>IF('Catálogo_SI'!A240="","",'Catálogo_SI'!B240)</f>
        <v/>
      </c>
      <c r="C241" s="9">
        <f>IF('Catálogo_SI'!A240="","",ROUND(COUNTA('Catálogo_SI'!A240:AR240)/44,2))</f>
        <v/>
      </c>
    </row>
    <row r="242">
      <c r="A242" s="2">
        <f>'Catálogo_SI'!A241</f>
        <v/>
      </c>
      <c r="B242" s="2">
        <f>IF('Catálogo_SI'!A241="","",'Catálogo_SI'!B241)</f>
        <v/>
      </c>
      <c r="C242" s="9">
        <f>IF('Catálogo_SI'!A241="","",ROUND(COUNTA('Catálogo_SI'!A241:AR241)/44,2))</f>
        <v/>
      </c>
    </row>
    <row r="243">
      <c r="A243" s="2">
        <f>'Catálogo_SI'!A242</f>
        <v/>
      </c>
      <c r="B243" s="2">
        <f>IF('Catálogo_SI'!A242="","",'Catálogo_SI'!B242)</f>
        <v/>
      </c>
      <c r="C243" s="9">
        <f>IF('Catálogo_SI'!A242="","",ROUND(COUNTA('Catálogo_SI'!A242:AR242)/44,2))</f>
        <v/>
      </c>
    </row>
    <row r="244">
      <c r="A244" s="2">
        <f>'Catálogo_SI'!A243</f>
        <v/>
      </c>
      <c r="B244" s="2">
        <f>IF('Catálogo_SI'!A243="","",'Catálogo_SI'!B243)</f>
        <v/>
      </c>
      <c r="C244" s="9">
        <f>IF('Catálogo_SI'!A243="","",ROUND(COUNTA('Catálogo_SI'!A243:AR243)/44,2))</f>
        <v/>
      </c>
    </row>
    <row r="245">
      <c r="A245" s="2">
        <f>'Catálogo_SI'!A244</f>
        <v/>
      </c>
      <c r="B245" s="2">
        <f>IF('Catálogo_SI'!A244="","",'Catálogo_SI'!B244)</f>
        <v/>
      </c>
      <c r="C245" s="9">
        <f>IF('Catálogo_SI'!A244="","",ROUND(COUNTA('Catálogo_SI'!A244:AR244)/44,2))</f>
        <v/>
      </c>
    </row>
    <row r="246">
      <c r="A246" s="2">
        <f>'Catálogo_SI'!A245</f>
        <v/>
      </c>
      <c r="B246" s="2">
        <f>IF('Catálogo_SI'!A245="","",'Catálogo_SI'!B245)</f>
        <v/>
      </c>
      <c r="C246" s="9">
        <f>IF('Catálogo_SI'!A245="","",ROUND(COUNTA('Catálogo_SI'!A245:AR245)/44,2))</f>
        <v/>
      </c>
    </row>
    <row r="247">
      <c r="A247" s="2">
        <f>'Catálogo_SI'!A246</f>
        <v/>
      </c>
      <c r="B247" s="2">
        <f>IF('Catálogo_SI'!A246="","",'Catálogo_SI'!B246)</f>
        <v/>
      </c>
      <c r="C247" s="9">
        <f>IF('Catálogo_SI'!A246="","",ROUND(COUNTA('Catálogo_SI'!A246:AR246)/44,2))</f>
        <v/>
      </c>
    </row>
    <row r="248">
      <c r="A248" s="2">
        <f>'Catálogo_SI'!A247</f>
        <v/>
      </c>
      <c r="B248" s="2">
        <f>IF('Catálogo_SI'!A247="","",'Catálogo_SI'!B247)</f>
        <v/>
      </c>
      <c r="C248" s="9">
        <f>IF('Catálogo_SI'!A247="","",ROUND(COUNTA('Catálogo_SI'!A247:AR247)/44,2))</f>
        <v/>
      </c>
    </row>
    <row r="249">
      <c r="A249" s="2">
        <f>'Catálogo_SI'!A248</f>
        <v/>
      </c>
      <c r="B249" s="2">
        <f>IF('Catálogo_SI'!A248="","",'Catálogo_SI'!B248)</f>
        <v/>
      </c>
      <c r="C249" s="9">
        <f>IF('Catálogo_SI'!A248="","",ROUND(COUNTA('Catálogo_SI'!A248:AR248)/44,2))</f>
        <v/>
      </c>
    </row>
    <row r="250">
      <c r="A250" s="2">
        <f>'Catálogo_SI'!A249</f>
        <v/>
      </c>
      <c r="B250" s="2">
        <f>IF('Catálogo_SI'!A249="","",'Catálogo_SI'!B249)</f>
        <v/>
      </c>
      <c r="C250" s="9">
        <f>IF('Catálogo_SI'!A249="","",ROUND(COUNTA('Catálogo_SI'!A249:AR249)/44,2))</f>
        <v/>
      </c>
    </row>
    <row r="251">
      <c r="A251" s="2">
        <f>'Catálogo_SI'!A250</f>
        <v/>
      </c>
      <c r="B251" s="2">
        <f>IF('Catálogo_SI'!A250="","",'Catálogo_SI'!B250)</f>
        <v/>
      </c>
      <c r="C251" s="9">
        <f>IF('Catálogo_SI'!A250="","",ROUND(COUNTA('Catálogo_SI'!A250:AR250)/44,2))</f>
        <v/>
      </c>
    </row>
    <row r="252">
      <c r="A252" s="2">
        <f>'Catálogo_SI'!A251</f>
        <v/>
      </c>
      <c r="B252" s="2">
        <f>IF('Catálogo_SI'!A251="","",'Catálogo_SI'!B251)</f>
        <v/>
      </c>
      <c r="C252" s="9">
        <f>IF('Catálogo_SI'!A251="","",ROUND(COUNTA('Catálogo_SI'!A251:AR251)/44,2))</f>
        <v/>
      </c>
    </row>
    <row r="253">
      <c r="A253" s="2">
        <f>'Catálogo_SI'!A252</f>
        <v/>
      </c>
      <c r="B253" s="2">
        <f>IF('Catálogo_SI'!A252="","",'Catálogo_SI'!B252)</f>
        <v/>
      </c>
      <c r="C253" s="9">
        <f>IF('Catálogo_SI'!A252="","",ROUND(COUNTA('Catálogo_SI'!A252:AR252)/44,2))</f>
        <v/>
      </c>
    </row>
    <row r="254">
      <c r="A254" s="2">
        <f>'Catálogo_SI'!A253</f>
        <v/>
      </c>
      <c r="B254" s="2">
        <f>IF('Catálogo_SI'!A253="","",'Catálogo_SI'!B253)</f>
        <v/>
      </c>
      <c r="C254" s="9">
        <f>IF('Catálogo_SI'!A253="","",ROUND(COUNTA('Catálogo_SI'!A253:AR253)/44,2))</f>
        <v/>
      </c>
    </row>
    <row r="255">
      <c r="A255" s="2">
        <f>'Catálogo_SI'!A254</f>
        <v/>
      </c>
      <c r="B255" s="2">
        <f>IF('Catálogo_SI'!A254="","",'Catálogo_SI'!B254)</f>
        <v/>
      </c>
      <c r="C255" s="9">
        <f>IF('Catálogo_SI'!A254="","",ROUND(COUNTA('Catálogo_SI'!A254:AR254)/44,2))</f>
        <v/>
      </c>
    </row>
    <row r="256">
      <c r="A256" s="2">
        <f>'Catálogo_SI'!A255</f>
        <v/>
      </c>
      <c r="B256" s="2">
        <f>IF('Catálogo_SI'!A255="","",'Catálogo_SI'!B255)</f>
        <v/>
      </c>
      <c r="C256" s="9">
        <f>IF('Catálogo_SI'!A255="","",ROUND(COUNTA('Catálogo_SI'!A255:AR255)/44,2))</f>
        <v/>
      </c>
    </row>
    <row r="257">
      <c r="A257" s="2">
        <f>'Catálogo_SI'!A256</f>
        <v/>
      </c>
      <c r="B257" s="2">
        <f>IF('Catálogo_SI'!A256="","",'Catálogo_SI'!B256)</f>
        <v/>
      </c>
      <c r="C257" s="9">
        <f>IF('Catálogo_SI'!A256="","",ROUND(COUNTA('Catálogo_SI'!A256:AR256)/44,2))</f>
        <v/>
      </c>
    </row>
    <row r="258">
      <c r="A258" s="2">
        <f>'Catálogo_SI'!A257</f>
        <v/>
      </c>
      <c r="B258" s="2">
        <f>IF('Catálogo_SI'!A257="","",'Catálogo_SI'!B257)</f>
        <v/>
      </c>
      <c r="C258" s="9">
        <f>IF('Catálogo_SI'!A257="","",ROUND(COUNTA('Catálogo_SI'!A257:AR257)/44,2))</f>
        <v/>
      </c>
    </row>
    <row r="259">
      <c r="A259" s="2">
        <f>'Catálogo_SI'!A258</f>
        <v/>
      </c>
      <c r="B259" s="2">
        <f>IF('Catálogo_SI'!A258="","",'Catálogo_SI'!B258)</f>
        <v/>
      </c>
      <c r="C259" s="9">
        <f>IF('Catálogo_SI'!A258="","",ROUND(COUNTA('Catálogo_SI'!A258:AR258)/44,2))</f>
        <v/>
      </c>
    </row>
    <row r="260">
      <c r="A260" s="2">
        <f>'Catálogo_SI'!A259</f>
        <v/>
      </c>
      <c r="B260" s="2">
        <f>IF('Catálogo_SI'!A259="","",'Catálogo_SI'!B259)</f>
        <v/>
      </c>
      <c r="C260" s="9">
        <f>IF('Catálogo_SI'!A259="","",ROUND(COUNTA('Catálogo_SI'!A259:AR259)/44,2))</f>
        <v/>
      </c>
    </row>
    <row r="261">
      <c r="A261" s="2">
        <f>'Catálogo_SI'!A260</f>
        <v/>
      </c>
      <c r="B261" s="2">
        <f>IF('Catálogo_SI'!A260="","",'Catálogo_SI'!B260)</f>
        <v/>
      </c>
      <c r="C261" s="9">
        <f>IF('Catálogo_SI'!A260="","",ROUND(COUNTA('Catálogo_SI'!A260:AR260)/44,2))</f>
        <v/>
      </c>
    </row>
    <row r="262">
      <c r="A262" s="2">
        <f>'Catálogo_SI'!A261</f>
        <v/>
      </c>
      <c r="B262" s="2">
        <f>IF('Catálogo_SI'!A261="","",'Catálogo_SI'!B261)</f>
        <v/>
      </c>
      <c r="C262" s="9">
        <f>IF('Catálogo_SI'!A261="","",ROUND(COUNTA('Catálogo_SI'!A261:AR261)/44,2))</f>
        <v/>
      </c>
    </row>
    <row r="263">
      <c r="A263" s="2">
        <f>'Catálogo_SI'!A262</f>
        <v/>
      </c>
      <c r="B263" s="2">
        <f>IF('Catálogo_SI'!A262="","",'Catálogo_SI'!B262)</f>
        <v/>
      </c>
      <c r="C263" s="9">
        <f>IF('Catálogo_SI'!A262="","",ROUND(COUNTA('Catálogo_SI'!A262:AR262)/44,2))</f>
        <v/>
      </c>
    </row>
    <row r="264">
      <c r="A264" s="2">
        <f>'Catálogo_SI'!A263</f>
        <v/>
      </c>
      <c r="B264" s="2">
        <f>IF('Catálogo_SI'!A263="","",'Catálogo_SI'!B263)</f>
        <v/>
      </c>
      <c r="C264" s="9">
        <f>IF('Catálogo_SI'!A263="","",ROUND(COUNTA('Catálogo_SI'!A263:AR263)/44,2))</f>
        <v/>
      </c>
    </row>
    <row r="265">
      <c r="A265" s="2">
        <f>'Catálogo_SI'!A264</f>
        <v/>
      </c>
      <c r="B265" s="2">
        <f>IF('Catálogo_SI'!A264="","",'Catálogo_SI'!B264)</f>
        <v/>
      </c>
      <c r="C265" s="9">
        <f>IF('Catálogo_SI'!A264="","",ROUND(COUNTA('Catálogo_SI'!A264:AR264)/44,2))</f>
        <v/>
      </c>
    </row>
    <row r="266">
      <c r="A266" s="2">
        <f>'Catálogo_SI'!A265</f>
        <v/>
      </c>
      <c r="B266" s="2">
        <f>IF('Catálogo_SI'!A265="","",'Catálogo_SI'!B265)</f>
        <v/>
      </c>
      <c r="C266" s="9">
        <f>IF('Catálogo_SI'!A265="","",ROUND(COUNTA('Catálogo_SI'!A265:AR265)/44,2))</f>
        <v/>
      </c>
    </row>
    <row r="267">
      <c r="A267" s="2">
        <f>'Catálogo_SI'!A266</f>
        <v/>
      </c>
      <c r="B267" s="2">
        <f>IF('Catálogo_SI'!A266="","",'Catálogo_SI'!B266)</f>
        <v/>
      </c>
      <c r="C267" s="9">
        <f>IF('Catálogo_SI'!A266="","",ROUND(COUNTA('Catálogo_SI'!A266:AR266)/44,2))</f>
        <v/>
      </c>
    </row>
    <row r="268">
      <c r="A268" s="2">
        <f>'Catálogo_SI'!A267</f>
        <v/>
      </c>
      <c r="B268" s="2">
        <f>IF('Catálogo_SI'!A267="","",'Catálogo_SI'!B267)</f>
        <v/>
      </c>
      <c r="C268" s="9">
        <f>IF('Catálogo_SI'!A267="","",ROUND(COUNTA('Catálogo_SI'!A267:AR267)/44,2))</f>
        <v/>
      </c>
    </row>
    <row r="269">
      <c r="A269" s="2">
        <f>'Catálogo_SI'!A268</f>
        <v/>
      </c>
      <c r="B269" s="2">
        <f>IF('Catálogo_SI'!A268="","",'Catálogo_SI'!B268)</f>
        <v/>
      </c>
      <c r="C269" s="9">
        <f>IF('Catálogo_SI'!A268="","",ROUND(COUNTA('Catálogo_SI'!A268:AR268)/44,2))</f>
        <v/>
      </c>
    </row>
    <row r="270">
      <c r="A270" s="2">
        <f>'Catálogo_SI'!A269</f>
        <v/>
      </c>
      <c r="B270" s="2">
        <f>IF('Catálogo_SI'!A269="","",'Catálogo_SI'!B269)</f>
        <v/>
      </c>
      <c r="C270" s="9">
        <f>IF('Catálogo_SI'!A269="","",ROUND(COUNTA('Catálogo_SI'!A269:AR269)/44,2))</f>
        <v/>
      </c>
    </row>
    <row r="271">
      <c r="A271" s="2">
        <f>'Catálogo_SI'!A270</f>
        <v/>
      </c>
      <c r="B271" s="2">
        <f>IF('Catálogo_SI'!A270="","",'Catálogo_SI'!B270)</f>
        <v/>
      </c>
      <c r="C271" s="9">
        <f>IF('Catálogo_SI'!A270="","",ROUND(COUNTA('Catálogo_SI'!A270:AR270)/44,2))</f>
        <v/>
      </c>
    </row>
    <row r="272">
      <c r="A272" s="2">
        <f>'Catálogo_SI'!A271</f>
        <v/>
      </c>
      <c r="B272" s="2">
        <f>IF('Catálogo_SI'!A271="","",'Catálogo_SI'!B271)</f>
        <v/>
      </c>
      <c r="C272" s="9">
        <f>IF('Catálogo_SI'!A271="","",ROUND(COUNTA('Catálogo_SI'!A271:AR271)/44,2))</f>
        <v/>
      </c>
    </row>
    <row r="273">
      <c r="A273" s="2">
        <f>'Catálogo_SI'!A272</f>
        <v/>
      </c>
      <c r="B273" s="2">
        <f>IF('Catálogo_SI'!A272="","",'Catálogo_SI'!B272)</f>
        <v/>
      </c>
      <c r="C273" s="9">
        <f>IF('Catálogo_SI'!A272="","",ROUND(COUNTA('Catálogo_SI'!A272:AR272)/44,2))</f>
        <v/>
      </c>
    </row>
    <row r="274">
      <c r="A274" s="2">
        <f>'Catálogo_SI'!A273</f>
        <v/>
      </c>
      <c r="B274" s="2">
        <f>IF('Catálogo_SI'!A273="","",'Catálogo_SI'!B273)</f>
        <v/>
      </c>
      <c r="C274" s="9">
        <f>IF('Catálogo_SI'!A273="","",ROUND(COUNTA('Catálogo_SI'!A273:AR273)/44,2))</f>
        <v/>
      </c>
    </row>
    <row r="275">
      <c r="A275" s="2">
        <f>'Catálogo_SI'!A274</f>
        <v/>
      </c>
      <c r="B275" s="2">
        <f>IF('Catálogo_SI'!A274="","",'Catálogo_SI'!B274)</f>
        <v/>
      </c>
      <c r="C275" s="9">
        <f>IF('Catálogo_SI'!A274="","",ROUND(COUNTA('Catálogo_SI'!A274:AR274)/44,2))</f>
        <v/>
      </c>
    </row>
    <row r="276">
      <c r="A276" s="2">
        <f>'Catálogo_SI'!A275</f>
        <v/>
      </c>
      <c r="B276" s="2">
        <f>IF('Catálogo_SI'!A275="","",'Catálogo_SI'!B275)</f>
        <v/>
      </c>
      <c r="C276" s="9">
        <f>IF('Catálogo_SI'!A275="","",ROUND(COUNTA('Catálogo_SI'!A275:AR275)/44,2))</f>
        <v/>
      </c>
    </row>
    <row r="277">
      <c r="A277" s="2">
        <f>'Catálogo_SI'!A276</f>
        <v/>
      </c>
      <c r="B277" s="2">
        <f>IF('Catálogo_SI'!A276="","",'Catálogo_SI'!B276)</f>
        <v/>
      </c>
      <c r="C277" s="9">
        <f>IF('Catálogo_SI'!A276="","",ROUND(COUNTA('Catálogo_SI'!A276:AR276)/44,2))</f>
        <v/>
      </c>
    </row>
    <row r="278">
      <c r="A278" s="2">
        <f>'Catálogo_SI'!A277</f>
        <v/>
      </c>
      <c r="B278" s="2">
        <f>IF('Catálogo_SI'!A277="","",'Catálogo_SI'!B277)</f>
        <v/>
      </c>
      <c r="C278" s="9">
        <f>IF('Catálogo_SI'!A277="","",ROUND(COUNTA('Catálogo_SI'!A277:AR277)/44,2))</f>
        <v/>
      </c>
    </row>
    <row r="279">
      <c r="A279" s="2">
        <f>'Catálogo_SI'!A278</f>
        <v/>
      </c>
      <c r="B279" s="2">
        <f>IF('Catálogo_SI'!A278="","",'Catálogo_SI'!B278)</f>
        <v/>
      </c>
      <c r="C279" s="9">
        <f>IF('Catálogo_SI'!A278="","",ROUND(COUNTA('Catálogo_SI'!A278:AR278)/44,2))</f>
        <v/>
      </c>
    </row>
    <row r="280">
      <c r="A280" s="2">
        <f>'Catálogo_SI'!A279</f>
        <v/>
      </c>
      <c r="B280" s="2">
        <f>IF('Catálogo_SI'!A279="","",'Catálogo_SI'!B279)</f>
        <v/>
      </c>
      <c r="C280" s="9">
        <f>IF('Catálogo_SI'!A279="","",ROUND(COUNTA('Catálogo_SI'!A279:AR279)/44,2))</f>
        <v/>
      </c>
    </row>
    <row r="281">
      <c r="A281" s="2">
        <f>'Catálogo_SI'!A280</f>
        <v/>
      </c>
      <c r="B281" s="2">
        <f>IF('Catálogo_SI'!A280="","",'Catálogo_SI'!B280)</f>
        <v/>
      </c>
      <c r="C281" s="9">
        <f>IF('Catálogo_SI'!A280="","",ROUND(COUNTA('Catálogo_SI'!A280:AR280)/44,2))</f>
        <v/>
      </c>
    </row>
    <row r="282">
      <c r="A282" s="2">
        <f>'Catálogo_SI'!A281</f>
        <v/>
      </c>
      <c r="B282" s="2">
        <f>IF('Catálogo_SI'!A281="","",'Catálogo_SI'!B281)</f>
        <v/>
      </c>
      <c r="C282" s="9">
        <f>IF('Catálogo_SI'!A281="","",ROUND(COUNTA('Catálogo_SI'!A281:AR281)/44,2))</f>
        <v/>
      </c>
    </row>
    <row r="283">
      <c r="A283" s="2">
        <f>'Catálogo_SI'!A282</f>
        <v/>
      </c>
      <c r="B283" s="2">
        <f>IF('Catálogo_SI'!A282="","",'Catálogo_SI'!B282)</f>
        <v/>
      </c>
      <c r="C283" s="9">
        <f>IF('Catálogo_SI'!A282="","",ROUND(COUNTA('Catálogo_SI'!A282:AR282)/44,2))</f>
        <v/>
      </c>
    </row>
    <row r="284">
      <c r="A284" s="2">
        <f>'Catálogo_SI'!A283</f>
        <v/>
      </c>
      <c r="B284" s="2">
        <f>IF('Catálogo_SI'!A283="","",'Catálogo_SI'!B283)</f>
        <v/>
      </c>
      <c r="C284" s="9">
        <f>IF('Catálogo_SI'!A283="","",ROUND(COUNTA('Catálogo_SI'!A283:AR283)/44,2))</f>
        <v/>
      </c>
    </row>
    <row r="285">
      <c r="A285" s="2">
        <f>'Catálogo_SI'!A284</f>
        <v/>
      </c>
      <c r="B285" s="2">
        <f>IF('Catálogo_SI'!A284="","",'Catálogo_SI'!B284)</f>
        <v/>
      </c>
      <c r="C285" s="9">
        <f>IF('Catálogo_SI'!A284="","",ROUND(COUNTA('Catálogo_SI'!A284:AR284)/44,2))</f>
        <v/>
      </c>
    </row>
    <row r="286">
      <c r="A286" s="2">
        <f>'Catálogo_SI'!A285</f>
        <v/>
      </c>
      <c r="B286" s="2">
        <f>IF('Catálogo_SI'!A285="","",'Catálogo_SI'!B285)</f>
        <v/>
      </c>
      <c r="C286" s="9">
        <f>IF('Catálogo_SI'!A285="","",ROUND(COUNTA('Catálogo_SI'!A285:AR285)/44,2))</f>
        <v/>
      </c>
    </row>
    <row r="287">
      <c r="A287" s="2">
        <f>'Catálogo_SI'!A286</f>
        <v/>
      </c>
      <c r="B287" s="2">
        <f>IF('Catálogo_SI'!A286="","",'Catálogo_SI'!B286)</f>
        <v/>
      </c>
      <c r="C287" s="9">
        <f>IF('Catálogo_SI'!A286="","",ROUND(COUNTA('Catálogo_SI'!A286:AR286)/44,2))</f>
        <v/>
      </c>
    </row>
    <row r="288">
      <c r="A288" s="2">
        <f>'Catálogo_SI'!A287</f>
        <v/>
      </c>
      <c r="B288" s="2">
        <f>IF('Catálogo_SI'!A287="","",'Catálogo_SI'!B287)</f>
        <v/>
      </c>
      <c r="C288" s="9">
        <f>IF('Catálogo_SI'!A287="","",ROUND(COUNTA('Catálogo_SI'!A287:AR287)/44,2))</f>
        <v/>
      </c>
    </row>
    <row r="289">
      <c r="A289" s="2">
        <f>'Catálogo_SI'!A288</f>
        <v/>
      </c>
      <c r="B289" s="2">
        <f>IF('Catálogo_SI'!A288="","",'Catálogo_SI'!B288)</f>
        <v/>
      </c>
      <c r="C289" s="9">
        <f>IF('Catálogo_SI'!A288="","",ROUND(COUNTA('Catálogo_SI'!A288:AR288)/44,2))</f>
        <v/>
      </c>
    </row>
    <row r="290">
      <c r="A290" s="2">
        <f>'Catálogo_SI'!A289</f>
        <v/>
      </c>
      <c r="B290" s="2">
        <f>IF('Catálogo_SI'!A289="","",'Catálogo_SI'!B289)</f>
        <v/>
      </c>
      <c r="C290" s="9">
        <f>IF('Catálogo_SI'!A289="","",ROUND(COUNTA('Catálogo_SI'!A289:AR289)/44,2))</f>
        <v/>
      </c>
    </row>
    <row r="291">
      <c r="A291" s="2">
        <f>'Catálogo_SI'!A290</f>
        <v/>
      </c>
      <c r="B291" s="2">
        <f>IF('Catálogo_SI'!A290="","",'Catálogo_SI'!B290)</f>
        <v/>
      </c>
      <c r="C291" s="9">
        <f>IF('Catálogo_SI'!A290="","",ROUND(COUNTA('Catálogo_SI'!A290:AR290)/44,2))</f>
        <v/>
      </c>
    </row>
    <row r="292">
      <c r="A292" s="2">
        <f>'Catálogo_SI'!A291</f>
        <v/>
      </c>
      <c r="B292" s="2">
        <f>IF('Catálogo_SI'!A291="","",'Catálogo_SI'!B291)</f>
        <v/>
      </c>
      <c r="C292" s="9">
        <f>IF('Catálogo_SI'!A291="","",ROUND(COUNTA('Catálogo_SI'!A291:AR291)/44,2))</f>
        <v/>
      </c>
    </row>
    <row r="293">
      <c r="A293" s="2">
        <f>'Catálogo_SI'!A292</f>
        <v/>
      </c>
      <c r="B293" s="2">
        <f>IF('Catálogo_SI'!A292="","",'Catálogo_SI'!B292)</f>
        <v/>
      </c>
      <c r="C293" s="9">
        <f>IF('Catálogo_SI'!A292="","",ROUND(COUNTA('Catálogo_SI'!A292:AR292)/44,2))</f>
        <v/>
      </c>
    </row>
    <row r="294">
      <c r="A294" s="2">
        <f>'Catálogo_SI'!A293</f>
        <v/>
      </c>
      <c r="B294" s="2">
        <f>IF('Catálogo_SI'!A293="","",'Catálogo_SI'!B293)</f>
        <v/>
      </c>
      <c r="C294" s="9">
        <f>IF('Catálogo_SI'!A293="","",ROUND(COUNTA('Catálogo_SI'!A293:AR293)/44,2))</f>
        <v/>
      </c>
    </row>
    <row r="295">
      <c r="A295" s="2">
        <f>'Catálogo_SI'!A294</f>
        <v/>
      </c>
      <c r="B295" s="2">
        <f>IF('Catálogo_SI'!A294="","",'Catálogo_SI'!B294)</f>
        <v/>
      </c>
      <c r="C295" s="9">
        <f>IF('Catálogo_SI'!A294="","",ROUND(COUNTA('Catálogo_SI'!A294:AR294)/44,2))</f>
        <v/>
      </c>
    </row>
    <row r="296">
      <c r="A296" s="2">
        <f>'Catálogo_SI'!A295</f>
        <v/>
      </c>
      <c r="B296" s="2">
        <f>IF('Catálogo_SI'!A295="","",'Catálogo_SI'!B295)</f>
        <v/>
      </c>
      <c r="C296" s="9">
        <f>IF('Catálogo_SI'!A295="","",ROUND(COUNTA('Catálogo_SI'!A295:AR295)/44,2))</f>
        <v/>
      </c>
    </row>
    <row r="297">
      <c r="A297" s="2">
        <f>'Catálogo_SI'!A296</f>
        <v/>
      </c>
      <c r="B297" s="2">
        <f>IF('Catálogo_SI'!A296="","",'Catálogo_SI'!B296)</f>
        <v/>
      </c>
      <c r="C297" s="9">
        <f>IF('Catálogo_SI'!A296="","",ROUND(COUNTA('Catálogo_SI'!A296:AR296)/44,2))</f>
        <v/>
      </c>
    </row>
    <row r="298">
      <c r="A298" s="2">
        <f>'Catálogo_SI'!A297</f>
        <v/>
      </c>
      <c r="B298" s="2">
        <f>IF('Catálogo_SI'!A297="","",'Catálogo_SI'!B297)</f>
        <v/>
      </c>
      <c r="C298" s="9">
        <f>IF('Catálogo_SI'!A297="","",ROUND(COUNTA('Catálogo_SI'!A297:AR297)/44,2))</f>
        <v/>
      </c>
    </row>
    <row r="299">
      <c r="A299" s="2">
        <f>'Catálogo_SI'!A298</f>
        <v/>
      </c>
      <c r="B299" s="2">
        <f>IF('Catálogo_SI'!A298="","",'Catálogo_SI'!B298)</f>
        <v/>
      </c>
      <c r="C299" s="9">
        <f>IF('Catálogo_SI'!A298="","",ROUND(COUNTA('Catálogo_SI'!A298:AR298)/44,2))</f>
        <v/>
      </c>
    </row>
    <row r="300">
      <c r="A300" s="2">
        <f>'Catálogo_SI'!A299</f>
        <v/>
      </c>
      <c r="B300" s="2">
        <f>IF('Catálogo_SI'!A299="","",'Catálogo_SI'!B299)</f>
        <v/>
      </c>
      <c r="C300" s="9">
        <f>IF('Catálogo_SI'!A299="","",ROUND(COUNTA('Catálogo_SI'!A299:AR299)/44,2))</f>
        <v/>
      </c>
    </row>
    <row r="301">
      <c r="A301" s="2">
        <f>'Catálogo_SI'!A300</f>
        <v/>
      </c>
      <c r="B301" s="2">
        <f>IF('Catálogo_SI'!A300="","",'Catálogo_SI'!B300)</f>
        <v/>
      </c>
      <c r="C301" s="9">
        <f>IF('Catálogo_SI'!A300="","",ROUND(COUNTA('Catálogo_SI'!A300:AR300)/44,2))</f>
        <v/>
      </c>
    </row>
    <row r="302">
      <c r="A302" s="2">
        <f>'Catálogo_SI'!A301</f>
        <v/>
      </c>
      <c r="B302" s="2">
        <f>IF('Catálogo_SI'!A301="","",'Catálogo_SI'!B301)</f>
        <v/>
      </c>
      <c r="C302" s="9">
        <f>IF('Catálogo_SI'!A301="","",ROUND(COUNTA('Catálogo_SI'!A301:AR301)/44,2))</f>
        <v/>
      </c>
    </row>
    <row r="303">
      <c r="A303" s="2">
        <f>'Catálogo_SI'!A302</f>
        <v/>
      </c>
      <c r="B303" s="2">
        <f>IF('Catálogo_SI'!A302="","",'Catálogo_SI'!B302)</f>
        <v/>
      </c>
      <c r="C303" s="9">
        <f>IF('Catálogo_SI'!A302="","",ROUND(COUNTA('Catálogo_SI'!A302:AR302)/44,2))</f>
        <v/>
      </c>
    </row>
    <row r="304">
      <c r="A304" s="2">
        <f>'Catálogo_SI'!A303</f>
        <v/>
      </c>
      <c r="B304" s="2">
        <f>IF('Catálogo_SI'!A303="","",'Catálogo_SI'!B303)</f>
        <v/>
      </c>
      <c r="C304" s="9">
        <f>IF('Catálogo_SI'!A303="","",ROUND(COUNTA('Catálogo_SI'!A303:AR303)/44,2))</f>
        <v/>
      </c>
    </row>
    <row r="305">
      <c r="A305" s="2">
        <f>'Catálogo_SI'!A304</f>
        <v/>
      </c>
      <c r="B305" s="2">
        <f>IF('Catálogo_SI'!A304="","",'Catálogo_SI'!B304)</f>
        <v/>
      </c>
      <c r="C305" s="9">
        <f>IF('Catálogo_SI'!A304="","",ROUND(COUNTA('Catálogo_SI'!A304:AR304)/44,2))</f>
        <v/>
      </c>
    </row>
    <row r="306">
      <c r="A306" s="2">
        <f>'Catálogo_SI'!A305</f>
        <v/>
      </c>
      <c r="B306" s="2">
        <f>IF('Catálogo_SI'!A305="","",'Catálogo_SI'!B305)</f>
        <v/>
      </c>
      <c r="C306" s="9">
        <f>IF('Catálogo_SI'!A305="","",ROUND(COUNTA('Catálogo_SI'!A305:AR305)/44,2))</f>
        <v/>
      </c>
    </row>
    <row r="307">
      <c r="A307" s="2">
        <f>'Catálogo_SI'!A306</f>
        <v/>
      </c>
      <c r="B307" s="2">
        <f>IF('Catálogo_SI'!A306="","",'Catálogo_SI'!B306)</f>
        <v/>
      </c>
      <c r="C307" s="9">
        <f>IF('Catálogo_SI'!A306="","",ROUND(COUNTA('Catálogo_SI'!A306:AR306)/44,2))</f>
        <v/>
      </c>
    </row>
    <row r="308">
      <c r="A308" s="2">
        <f>'Catálogo_SI'!A307</f>
        <v/>
      </c>
      <c r="B308" s="2">
        <f>IF('Catálogo_SI'!A307="","",'Catálogo_SI'!B307)</f>
        <v/>
      </c>
      <c r="C308" s="9">
        <f>IF('Catálogo_SI'!A307="","",ROUND(COUNTA('Catálogo_SI'!A307:AR307)/44,2))</f>
        <v/>
      </c>
    </row>
    <row r="309">
      <c r="A309" s="2">
        <f>'Catálogo_SI'!A308</f>
        <v/>
      </c>
      <c r="B309" s="2">
        <f>IF('Catálogo_SI'!A308="","",'Catálogo_SI'!B308)</f>
        <v/>
      </c>
      <c r="C309" s="9">
        <f>IF('Catálogo_SI'!A308="","",ROUND(COUNTA('Catálogo_SI'!A308:AR308)/44,2))</f>
        <v/>
      </c>
    </row>
    <row r="310">
      <c r="A310" s="2">
        <f>'Catálogo_SI'!A309</f>
        <v/>
      </c>
      <c r="B310" s="2">
        <f>IF('Catálogo_SI'!A309="","",'Catálogo_SI'!B309)</f>
        <v/>
      </c>
      <c r="C310" s="9">
        <f>IF('Catálogo_SI'!A309="","",ROUND(COUNTA('Catálogo_SI'!A309:AR309)/44,2))</f>
        <v/>
      </c>
    </row>
    <row r="311">
      <c r="A311" s="2">
        <f>'Catálogo_SI'!A310</f>
        <v/>
      </c>
      <c r="B311" s="2">
        <f>IF('Catálogo_SI'!A310="","",'Catálogo_SI'!B310)</f>
        <v/>
      </c>
      <c r="C311" s="9">
        <f>IF('Catálogo_SI'!A310="","",ROUND(COUNTA('Catálogo_SI'!A310:AR310)/44,2))</f>
        <v/>
      </c>
    </row>
    <row r="312">
      <c r="A312" s="2">
        <f>'Catálogo_SI'!A311</f>
        <v/>
      </c>
      <c r="B312" s="2">
        <f>IF('Catálogo_SI'!A311="","",'Catálogo_SI'!B311)</f>
        <v/>
      </c>
      <c r="C312" s="9">
        <f>IF('Catálogo_SI'!A311="","",ROUND(COUNTA('Catálogo_SI'!A311:AR311)/44,2))</f>
        <v/>
      </c>
    </row>
    <row r="313">
      <c r="A313" s="2">
        <f>'Catálogo_SI'!A312</f>
        <v/>
      </c>
      <c r="B313" s="2">
        <f>IF('Catálogo_SI'!A312="","",'Catálogo_SI'!B312)</f>
        <v/>
      </c>
      <c r="C313" s="9">
        <f>IF('Catálogo_SI'!A312="","",ROUND(COUNTA('Catálogo_SI'!A312:AR312)/44,2))</f>
        <v/>
      </c>
    </row>
    <row r="314">
      <c r="A314" s="2">
        <f>'Catálogo_SI'!A313</f>
        <v/>
      </c>
      <c r="B314" s="2">
        <f>IF('Catálogo_SI'!A313="","",'Catálogo_SI'!B313)</f>
        <v/>
      </c>
      <c r="C314" s="9">
        <f>IF('Catálogo_SI'!A313="","",ROUND(COUNTA('Catálogo_SI'!A313:AR313)/44,2))</f>
        <v/>
      </c>
    </row>
    <row r="315">
      <c r="A315" s="2">
        <f>'Catálogo_SI'!A314</f>
        <v/>
      </c>
      <c r="B315" s="2">
        <f>IF('Catálogo_SI'!A314="","",'Catálogo_SI'!B314)</f>
        <v/>
      </c>
      <c r="C315" s="9">
        <f>IF('Catálogo_SI'!A314="","",ROUND(COUNTA('Catálogo_SI'!A314:AR314)/44,2))</f>
        <v/>
      </c>
    </row>
    <row r="316">
      <c r="A316" s="2">
        <f>'Catálogo_SI'!A315</f>
        <v/>
      </c>
      <c r="B316" s="2">
        <f>IF('Catálogo_SI'!A315="","",'Catálogo_SI'!B315)</f>
        <v/>
      </c>
      <c r="C316" s="9">
        <f>IF('Catálogo_SI'!A315="","",ROUND(COUNTA('Catálogo_SI'!A315:AR315)/44,2))</f>
        <v/>
      </c>
    </row>
    <row r="317">
      <c r="A317" s="2">
        <f>'Catálogo_SI'!A316</f>
        <v/>
      </c>
      <c r="B317" s="2">
        <f>IF('Catálogo_SI'!A316="","",'Catálogo_SI'!B316)</f>
        <v/>
      </c>
      <c r="C317" s="9">
        <f>IF('Catálogo_SI'!A316="","",ROUND(COUNTA('Catálogo_SI'!A316:AR316)/44,2))</f>
        <v/>
      </c>
    </row>
    <row r="318">
      <c r="A318" s="2">
        <f>'Catálogo_SI'!A317</f>
        <v/>
      </c>
      <c r="B318" s="2">
        <f>IF('Catálogo_SI'!A317="","",'Catálogo_SI'!B317)</f>
        <v/>
      </c>
      <c r="C318" s="9">
        <f>IF('Catálogo_SI'!A317="","",ROUND(COUNTA('Catálogo_SI'!A317:AR317)/44,2))</f>
        <v/>
      </c>
    </row>
    <row r="319">
      <c r="A319" s="2">
        <f>'Catálogo_SI'!A318</f>
        <v/>
      </c>
      <c r="B319" s="2">
        <f>IF('Catálogo_SI'!A318="","",'Catálogo_SI'!B318)</f>
        <v/>
      </c>
      <c r="C319" s="9">
        <f>IF('Catálogo_SI'!A318="","",ROUND(COUNTA('Catálogo_SI'!A318:AR318)/44,2))</f>
        <v/>
      </c>
    </row>
    <row r="320">
      <c r="A320" s="2">
        <f>'Catálogo_SI'!A319</f>
        <v/>
      </c>
      <c r="B320" s="2">
        <f>IF('Catálogo_SI'!A319="","",'Catálogo_SI'!B319)</f>
        <v/>
      </c>
      <c r="C320" s="9">
        <f>IF('Catálogo_SI'!A319="","",ROUND(COUNTA('Catálogo_SI'!A319:AR319)/44,2))</f>
        <v/>
      </c>
    </row>
    <row r="321">
      <c r="A321" s="2">
        <f>'Catálogo_SI'!A320</f>
        <v/>
      </c>
      <c r="B321" s="2">
        <f>IF('Catálogo_SI'!A320="","",'Catálogo_SI'!B320)</f>
        <v/>
      </c>
      <c r="C321" s="9">
        <f>IF('Catálogo_SI'!A320="","",ROUND(COUNTA('Catálogo_SI'!A320:AR320)/44,2))</f>
        <v/>
      </c>
    </row>
    <row r="322">
      <c r="A322" s="2">
        <f>'Catálogo_SI'!A321</f>
        <v/>
      </c>
      <c r="B322" s="2">
        <f>IF('Catálogo_SI'!A321="","",'Catálogo_SI'!B321)</f>
        <v/>
      </c>
      <c r="C322" s="9">
        <f>IF('Catálogo_SI'!A321="","",ROUND(COUNTA('Catálogo_SI'!A321:AR321)/44,2))</f>
        <v/>
      </c>
    </row>
    <row r="323">
      <c r="A323" s="2">
        <f>'Catálogo_SI'!A322</f>
        <v/>
      </c>
      <c r="B323" s="2">
        <f>IF('Catálogo_SI'!A322="","",'Catálogo_SI'!B322)</f>
        <v/>
      </c>
      <c r="C323" s="9">
        <f>IF('Catálogo_SI'!A322="","",ROUND(COUNTA('Catálogo_SI'!A322:AR322)/44,2))</f>
        <v/>
      </c>
    </row>
    <row r="324">
      <c r="A324" s="2">
        <f>'Catálogo_SI'!A323</f>
        <v/>
      </c>
      <c r="B324" s="2">
        <f>IF('Catálogo_SI'!A323="","",'Catálogo_SI'!B323)</f>
        <v/>
      </c>
      <c r="C324" s="9">
        <f>IF('Catálogo_SI'!A323="","",ROUND(COUNTA('Catálogo_SI'!A323:AR323)/44,2))</f>
        <v/>
      </c>
    </row>
    <row r="325">
      <c r="A325" s="2">
        <f>'Catálogo_SI'!A324</f>
        <v/>
      </c>
      <c r="B325" s="2">
        <f>IF('Catálogo_SI'!A324="","",'Catálogo_SI'!B324)</f>
        <v/>
      </c>
      <c r="C325" s="9">
        <f>IF('Catálogo_SI'!A324="","",ROUND(COUNTA('Catálogo_SI'!A324:AR324)/44,2))</f>
        <v/>
      </c>
    </row>
    <row r="326">
      <c r="A326" s="2">
        <f>'Catálogo_SI'!A325</f>
        <v/>
      </c>
      <c r="B326" s="2">
        <f>IF('Catálogo_SI'!A325="","",'Catálogo_SI'!B325)</f>
        <v/>
      </c>
      <c r="C326" s="9">
        <f>IF('Catálogo_SI'!A325="","",ROUND(COUNTA('Catálogo_SI'!A325:AR325)/44,2))</f>
        <v/>
      </c>
    </row>
    <row r="327">
      <c r="A327" s="2">
        <f>'Catálogo_SI'!A326</f>
        <v/>
      </c>
      <c r="B327" s="2">
        <f>IF('Catálogo_SI'!A326="","",'Catálogo_SI'!B326)</f>
        <v/>
      </c>
      <c r="C327" s="9">
        <f>IF('Catálogo_SI'!A326="","",ROUND(COUNTA('Catálogo_SI'!A326:AR326)/44,2))</f>
        <v/>
      </c>
    </row>
    <row r="328">
      <c r="A328" s="2">
        <f>'Catálogo_SI'!A327</f>
        <v/>
      </c>
      <c r="B328" s="2">
        <f>IF('Catálogo_SI'!A327="","",'Catálogo_SI'!B327)</f>
        <v/>
      </c>
      <c r="C328" s="9">
        <f>IF('Catálogo_SI'!A327="","",ROUND(COUNTA('Catálogo_SI'!A327:AR327)/44,2))</f>
        <v/>
      </c>
    </row>
    <row r="329">
      <c r="A329" s="2">
        <f>'Catálogo_SI'!A328</f>
        <v/>
      </c>
      <c r="B329" s="2">
        <f>IF('Catálogo_SI'!A328="","",'Catálogo_SI'!B328)</f>
        <v/>
      </c>
      <c r="C329" s="9">
        <f>IF('Catálogo_SI'!A328="","",ROUND(COUNTA('Catálogo_SI'!A328:AR328)/44,2))</f>
        <v/>
      </c>
    </row>
    <row r="330">
      <c r="A330" s="2">
        <f>'Catálogo_SI'!A329</f>
        <v/>
      </c>
      <c r="B330" s="2">
        <f>IF('Catálogo_SI'!A329="","",'Catálogo_SI'!B329)</f>
        <v/>
      </c>
      <c r="C330" s="9">
        <f>IF('Catálogo_SI'!A329="","",ROUND(COUNTA('Catálogo_SI'!A329:AR329)/44,2))</f>
        <v/>
      </c>
    </row>
    <row r="331">
      <c r="A331" s="2">
        <f>'Catálogo_SI'!A330</f>
        <v/>
      </c>
      <c r="B331" s="2">
        <f>IF('Catálogo_SI'!A330="","",'Catálogo_SI'!B330)</f>
        <v/>
      </c>
      <c r="C331" s="9">
        <f>IF('Catálogo_SI'!A330="","",ROUND(COUNTA('Catálogo_SI'!A330:AR330)/44,2))</f>
        <v/>
      </c>
    </row>
    <row r="332">
      <c r="A332" s="2">
        <f>'Catálogo_SI'!A331</f>
        <v/>
      </c>
      <c r="B332" s="2">
        <f>IF('Catálogo_SI'!A331="","",'Catálogo_SI'!B331)</f>
        <v/>
      </c>
      <c r="C332" s="9">
        <f>IF('Catálogo_SI'!A331="","",ROUND(COUNTA('Catálogo_SI'!A331:AR331)/44,2))</f>
        <v/>
      </c>
    </row>
    <row r="333">
      <c r="A333" s="2">
        <f>'Catálogo_SI'!A332</f>
        <v/>
      </c>
      <c r="B333" s="2">
        <f>IF('Catálogo_SI'!A332="","",'Catálogo_SI'!B332)</f>
        <v/>
      </c>
      <c r="C333" s="9">
        <f>IF('Catálogo_SI'!A332="","",ROUND(COUNTA('Catálogo_SI'!A332:AR332)/44,2))</f>
        <v/>
      </c>
    </row>
    <row r="334">
      <c r="A334" s="2">
        <f>'Catálogo_SI'!A333</f>
        <v/>
      </c>
      <c r="B334" s="2">
        <f>IF('Catálogo_SI'!A333="","",'Catálogo_SI'!B333)</f>
        <v/>
      </c>
      <c r="C334" s="9">
        <f>IF('Catálogo_SI'!A333="","",ROUND(COUNTA('Catálogo_SI'!A333:AR333)/44,2))</f>
        <v/>
      </c>
    </row>
    <row r="335">
      <c r="A335" s="2">
        <f>'Catálogo_SI'!A334</f>
        <v/>
      </c>
      <c r="B335" s="2">
        <f>IF('Catálogo_SI'!A334="","",'Catálogo_SI'!B334)</f>
        <v/>
      </c>
      <c r="C335" s="9">
        <f>IF('Catálogo_SI'!A334="","",ROUND(COUNTA('Catálogo_SI'!A334:AR334)/44,2))</f>
        <v/>
      </c>
    </row>
    <row r="336">
      <c r="A336" s="2">
        <f>'Catálogo_SI'!A335</f>
        <v/>
      </c>
      <c r="B336" s="2">
        <f>IF('Catálogo_SI'!A335="","",'Catálogo_SI'!B335)</f>
        <v/>
      </c>
      <c r="C336" s="9">
        <f>IF('Catálogo_SI'!A335="","",ROUND(COUNTA('Catálogo_SI'!A335:AR335)/44,2))</f>
        <v/>
      </c>
    </row>
    <row r="337">
      <c r="A337" s="2">
        <f>'Catálogo_SI'!A336</f>
        <v/>
      </c>
      <c r="B337" s="2">
        <f>IF('Catálogo_SI'!A336="","",'Catálogo_SI'!B336)</f>
        <v/>
      </c>
      <c r="C337" s="9">
        <f>IF('Catálogo_SI'!A336="","",ROUND(COUNTA('Catálogo_SI'!A336:AR336)/44,2))</f>
        <v/>
      </c>
    </row>
    <row r="338">
      <c r="A338" s="2">
        <f>'Catálogo_SI'!A337</f>
        <v/>
      </c>
      <c r="B338" s="2">
        <f>IF('Catálogo_SI'!A337="","",'Catálogo_SI'!B337)</f>
        <v/>
      </c>
      <c r="C338" s="9">
        <f>IF('Catálogo_SI'!A337="","",ROUND(COUNTA('Catálogo_SI'!A337:AR337)/44,2))</f>
        <v/>
      </c>
    </row>
    <row r="339">
      <c r="A339" s="2">
        <f>'Catálogo_SI'!A338</f>
        <v/>
      </c>
      <c r="B339" s="2">
        <f>IF('Catálogo_SI'!A338="","",'Catálogo_SI'!B338)</f>
        <v/>
      </c>
      <c r="C339" s="9">
        <f>IF('Catálogo_SI'!A338="","",ROUND(COUNTA('Catálogo_SI'!A338:AR338)/44,2))</f>
        <v/>
      </c>
    </row>
    <row r="340">
      <c r="A340" s="2">
        <f>'Catálogo_SI'!A339</f>
        <v/>
      </c>
      <c r="B340" s="2">
        <f>IF('Catálogo_SI'!A339="","",'Catálogo_SI'!B339)</f>
        <v/>
      </c>
      <c r="C340" s="9">
        <f>IF('Catálogo_SI'!A339="","",ROUND(COUNTA('Catálogo_SI'!A339:AR339)/44,2))</f>
        <v/>
      </c>
    </row>
    <row r="341">
      <c r="A341" s="2">
        <f>'Catálogo_SI'!A340</f>
        <v/>
      </c>
      <c r="B341" s="2">
        <f>IF('Catálogo_SI'!A340="","",'Catálogo_SI'!B340)</f>
        <v/>
      </c>
      <c r="C341" s="9">
        <f>IF('Catálogo_SI'!A340="","",ROUND(COUNTA('Catálogo_SI'!A340:AR340)/44,2))</f>
        <v/>
      </c>
    </row>
    <row r="342">
      <c r="A342" s="2">
        <f>'Catálogo_SI'!A341</f>
        <v/>
      </c>
      <c r="B342" s="2">
        <f>IF('Catálogo_SI'!A341="","",'Catálogo_SI'!B341)</f>
        <v/>
      </c>
      <c r="C342" s="9">
        <f>IF('Catálogo_SI'!A341="","",ROUND(COUNTA('Catálogo_SI'!A341:AR341)/44,2))</f>
        <v/>
      </c>
    </row>
    <row r="343">
      <c r="A343" s="2">
        <f>'Catálogo_SI'!A342</f>
        <v/>
      </c>
      <c r="B343" s="2">
        <f>IF('Catálogo_SI'!A342="","",'Catálogo_SI'!B342)</f>
        <v/>
      </c>
      <c r="C343" s="9">
        <f>IF('Catálogo_SI'!A342="","",ROUND(COUNTA('Catálogo_SI'!A342:AR342)/44,2))</f>
        <v/>
      </c>
    </row>
    <row r="344">
      <c r="A344" s="2">
        <f>'Catálogo_SI'!A343</f>
        <v/>
      </c>
      <c r="B344" s="2">
        <f>IF('Catálogo_SI'!A343="","",'Catálogo_SI'!B343)</f>
        <v/>
      </c>
      <c r="C344" s="9">
        <f>IF('Catálogo_SI'!A343="","",ROUND(COUNTA('Catálogo_SI'!A343:AR343)/44,2))</f>
        <v/>
      </c>
    </row>
    <row r="345">
      <c r="A345" s="2">
        <f>'Catálogo_SI'!A344</f>
        <v/>
      </c>
      <c r="B345" s="2">
        <f>IF('Catálogo_SI'!A344="","",'Catálogo_SI'!B344)</f>
        <v/>
      </c>
      <c r="C345" s="9">
        <f>IF('Catálogo_SI'!A344="","",ROUND(COUNTA('Catálogo_SI'!A344:AR344)/44,2))</f>
        <v/>
      </c>
    </row>
    <row r="346">
      <c r="A346" s="2">
        <f>'Catálogo_SI'!A345</f>
        <v/>
      </c>
      <c r="B346" s="2">
        <f>IF('Catálogo_SI'!A345="","",'Catálogo_SI'!B345)</f>
        <v/>
      </c>
      <c r="C346" s="9">
        <f>IF('Catálogo_SI'!A345="","",ROUND(COUNTA('Catálogo_SI'!A345:AR345)/44,2))</f>
        <v/>
      </c>
    </row>
    <row r="347">
      <c r="A347" s="2">
        <f>'Catálogo_SI'!A346</f>
        <v/>
      </c>
      <c r="B347" s="2">
        <f>IF('Catálogo_SI'!A346="","",'Catálogo_SI'!B346)</f>
        <v/>
      </c>
      <c r="C347" s="9">
        <f>IF('Catálogo_SI'!A346="","",ROUND(COUNTA('Catálogo_SI'!A346:AR346)/44,2))</f>
        <v/>
      </c>
    </row>
    <row r="348">
      <c r="A348" s="2">
        <f>'Catálogo_SI'!A347</f>
        <v/>
      </c>
      <c r="B348" s="2">
        <f>IF('Catálogo_SI'!A347="","",'Catálogo_SI'!B347)</f>
        <v/>
      </c>
      <c r="C348" s="9">
        <f>IF('Catálogo_SI'!A347="","",ROUND(COUNTA('Catálogo_SI'!A347:AR347)/44,2))</f>
        <v/>
      </c>
    </row>
    <row r="349">
      <c r="A349" s="2">
        <f>'Catálogo_SI'!A348</f>
        <v/>
      </c>
      <c r="B349" s="2">
        <f>IF('Catálogo_SI'!A348="","",'Catálogo_SI'!B348)</f>
        <v/>
      </c>
      <c r="C349" s="9">
        <f>IF('Catálogo_SI'!A348="","",ROUND(COUNTA('Catálogo_SI'!A348:AR348)/44,2))</f>
        <v/>
      </c>
    </row>
    <row r="350">
      <c r="A350" s="2">
        <f>'Catálogo_SI'!A349</f>
        <v/>
      </c>
      <c r="B350" s="2">
        <f>IF('Catálogo_SI'!A349="","",'Catálogo_SI'!B349)</f>
        <v/>
      </c>
      <c r="C350" s="9">
        <f>IF('Catálogo_SI'!A349="","",ROUND(COUNTA('Catálogo_SI'!A349:AR349)/44,2))</f>
        <v/>
      </c>
    </row>
    <row r="351">
      <c r="A351" s="2">
        <f>'Catálogo_SI'!A350</f>
        <v/>
      </c>
      <c r="B351" s="2">
        <f>IF('Catálogo_SI'!A350="","",'Catálogo_SI'!B350)</f>
        <v/>
      </c>
      <c r="C351" s="9">
        <f>IF('Catálogo_SI'!A350="","",ROUND(COUNTA('Catálogo_SI'!A350:AR350)/44,2))</f>
        <v/>
      </c>
    </row>
    <row r="352">
      <c r="A352" s="2">
        <f>'Catálogo_SI'!A351</f>
        <v/>
      </c>
      <c r="B352" s="2">
        <f>IF('Catálogo_SI'!A351="","",'Catálogo_SI'!B351)</f>
        <v/>
      </c>
      <c r="C352" s="9">
        <f>IF('Catálogo_SI'!A351="","",ROUND(COUNTA('Catálogo_SI'!A351:AR351)/44,2))</f>
        <v/>
      </c>
    </row>
    <row r="353">
      <c r="A353" s="2">
        <f>'Catálogo_SI'!A352</f>
        <v/>
      </c>
      <c r="B353" s="2">
        <f>IF('Catálogo_SI'!A352="","",'Catálogo_SI'!B352)</f>
        <v/>
      </c>
      <c r="C353" s="9">
        <f>IF('Catálogo_SI'!A352="","",ROUND(COUNTA('Catálogo_SI'!A352:AR352)/44,2))</f>
        <v/>
      </c>
    </row>
    <row r="354">
      <c r="A354" s="2">
        <f>'Catálogo_SI'!A353</f>
        <v/>
      </c>
      <c r="B354" s="2">
        <f>IF('Catálogo_SI'!A353="","",'Catálogo_SI'!B353)</f>
        <v/>
      </c>
      <c r="C354" s="9">
        <f>IF('Catálogo_SI'!A353="","",ROUND(COUNTA('Catálogo_SI'!A353:AR353)/44,2))</f>
        <v/>
      </c>
    </row>
    <row r="355">
      <c r="A355" s="2">
        <f>'Catálogo_SI'!A354</f>
        <v/>
      </c>
      <c r="B355" s="2">
        <f>IF('Catálogo_SI'!A354="","",'Catálogo_SI'!B354)</f>
        <v/>
      </c>
      <c r="C355" s="9">
        <f>IF('Catálogo_SI'!A354="","",ROUND(COUNTA('Catálogo_SI'!A354:AR354)/44,2))</f>
        <v/>
      </c>
    </row>
    <row r="356">
      <c r="A356" s="2">
        <f>'Catálogo_SI'!A355</f>
        <v/>
      </c>
      <c r="B356" s="2">
        <f>IF('Catálogo_SI'!A355="","",'Catálogo_SI'!B355)</f>
        <v/>
      </c>
      <c r="C356" s="9">
        <f>IF('Catálogo_SI'!A355="","",ROUND(COUNTA('Catálogo_SI'!A355:AR355)/44,2))</f>
        <v/>
      </c>
    </row>
    <row r="357">
      <c r="A357" s="2">
        <f>'Catálogo_SI'!A356</f>
        <v/>
      </c>
      <c r="B357" s="2">
        <f>IF('Catálogo_SI'!A356="","",'Catálogo_SI'!B356)</f>
        <v/>
      </c>
      <c r="C357" s="9">
        <f>IF('Catálogo_SI'!A356="","",ROUND(COUNTA('Catálogo_SI'!A356:AR356)/44,2))</f>
        <v/>
      </c>
    </row>
    <row r="358">
      <c r="A358" s="2">
        <f>'Catálogo_SI'!A357</f>
        <v/>
      </c>
      <c r="B358" s="2">
        <f>IF('Catálogo_SI'!A357="","",'Catálogo_SI'!B357)</f>
        <v/>
      </c>
      <c r="C358" s="9">
        <f>IF('Catálogo_SI'!A357="","",ROUND(COUNTA('Catálogo_SI'!A357:AR357)/44,2))</f>
        <v/>
      </c>
    </row>
    <row r="359">
      <c r="A359" s="2">
        <f>'Catálogo_SI'!A358</f>
        <v/>
      </c>
      <c r="B359" s="2">
        <f>IF('Catálogo_SI'!A358="","",'Catálogo_SI'!B358)</f>
        <v/>
      </c>
      <c r="C359" s="9">
        <f>IF('Catálogo_SI'!A358="","",ROUND(COUNTA('Catálogo_SI'!A358:AR358)/44,2))</f>
        <v/>
      </c>
    </row>
    <row r="360">
      <c r="A360" s="2">
        <f>'Catálogo_SI'!A359</f>
        <v/>
      </c>
      <c r="B360" s="2">
        <f>IF('Catálogo_SI'!A359="","",'Catálogo_SI'!B359)</f>
        <v/>
      </c>
      <c r="C360" s="9">
        <f>IF('Catálogo_SI'!A359="","",ROUND(COUNTA('Catálogo_SI'!A359:AR359)/44,2))</f>
        <v/>
      </c>
    </row>
    <row r="361">
      <c r="A361" s="2">
        <f>'Catálogo_SI'!A360</f>
        <v/>
      </c>
      <c r="B361" s="2">
        <f>IF('Catálogo_SI'!A360="","",'Catálogo_SI'!B360)</f>
        <v/>
      </c>
      <c r="C361" s="9">
        <f>IF('Catálogo_SI'!A360="","",ROUND(COUNTA('Catálogo_SI'!A360:AR360)/44,2))</f>
        <v/>
      </c>
    </row>
    <row r="362">
      <c r="A362" s="2">
        <f>'Catálogo_SI'!A361</f>
        <v/>
      </c>
      <c r="B362" s="2">
        <f>IF('Catálogo_SI'!A361="","",'Catálogo_SI'!B361)</f>
        <v/>
      </c>
      <c r="C362" s="9">
        <f>IF('Catálogo_SI'!A361="","",ROUND(COUNTA('Catálogo_SI'!A361:AR361)/44,2))</f>
        <v/>
      </c>
    </row>
    <row r="363">
      <c r="A363" s="2">
        <f>'Catálogo_SI'!A362</f>
        <v/>
      </c>
      <c r="B363" s="2">
        <f>IF('Catálogo_SI'!A362="","",'Catálogo_SI'!B362)</f>
        <v/>
      </c>
      <c r="C363" s="9">
        <f>IF('Catálogo_SI'!A362="","",ROUND(COUNTA('Catálogo_SI'!A362:AR362)/44,2))</f>
        <v/>
      </c>
    </row>
    <row r="364">
      <c r="A364" s="2">
        <f>'Catálogo_SI'!A363</f>
        <v/>
      </c>
      <c r="B364" s="2">
        <f>IF('Catálogo_SI'!A363="","",'Catálogo_SI'!B363)</f>
        <v/>
      </c>
      <c r="C364" s="9">
        <f>IF('Catálogo_SI'!A363="","",ROUND(COUNTA('Catálogo_SI'!A363:AR363)/44,2))</f>
        <v/>
      </c>
    </row>
    <row r="365">
      <c r="A365" s="2">
        <f>'Catálogo_SI'!A364</f>
        <v/>
      </c>
      <c r="B365" s="2">
        <f>IF('Catálogo_SI'!A364="","",'Catálogo_SI'!B364)</f>
        <v/>
      </c>
      <c r="C365" s="9">
        <f>IF('Catálogo_SI'!A364="","",ROUND(COUNTA('Catálogo_SI'!A364:AR364)/44,2))</f>
        <v/>
      </c>
    </row>
    <row r="366">
      <c r="A366" s="2">
        <f>'Catálogo_SI'!A365</f>
        <v/>
      </c>
      <c r="B366" s="2">
        <f>IF('Catálogo_SI'!A365="","",'Catálogo_SI'!B365)</f>
        <v/>
      </c>
      <c r="C366" s="9">
        <f>IF('Catálogo_SI'!A365="","",ROUND(COUNTA('Catálogo_SI'!A365:AR365)/44,2))</f>
        <v/>
      </c>
    </row>
    <row r="367">
      <c r="A367" s="2">
        <f>'Catálogo_SI'!A366</f>
        <v/>
      </c>
      <c r="B367" s="2">
        <f>IF('Catálogo_SI'!A366="","",'Catálogo_SI'!B366)</f>
        <v/>
      </c>
      <c r="C367" s="9">
        <f>IF('Catálogo_SI'!A366="","",ROUND(COUNTA('Catálogo_SI'!A366:AR366)/44,2))</f>
        <v/>
      </c>
    </row>
    <row r="368">
      <c r="A368" s="2">
        <f>'Catálogo_SI'!A367</f>
        <v/>
      </c>
      <c r="B368" s="2">
        <f>IF('Catálogo_SI'!A367="","",'Catálogo_SI'!B367)</f>
        <v/>
      </c>
      <c r="C368" s="9">
        <f>IF('Catálogo_SI'!A367="","",ROUND(COUNTA('Catálogo_SI'!A367:AR367)/44,2))</f>
        <v/>
      </c>
    </row>
    <row r="369">
      <c r="A369" s="2">
        <f>'Catálogo_SI'!A368</f>
        <v/>
      </c>
      <c r="B369" s="2">
        <f>IF('Catálogo_SI'!A368="","",'Catálogo_SI'!B368)</f>
        <v/>
      </c>
      <c r="C369" s="9">
        <f>IF('Catálogo_SI'!A368="","",ROUND(COUNTA('Catálogo_SI'!A368:AR368)/44,2))</f>
        <v/>
      </c>
    </row>
    <row r="370">
      <c r="A370" s="2">
        <f>'Catálogo_SI'!A369</f>
        <v/>
      </c>
      <c r="B370" s="2">
        <f>IF('Catálogo_SI'!A369="","",'Catálogo_SI'!B369)</f>
        <v/>
      </c>
      <c r="C370" s="9">
        <f>IF('Catálogo_SI'!A369="","",ROUND(COUNTA('Catálogo_SI'!A369:AR369)/44,2))</f>
        <v/>
      </c>
    </row>
    <row r="371">
      <c r="A371" s="2">
        <f>'Catálogo_SI'!A370</f>
        <v/>
      </c>
      <c r="B371" s="2">
        <f>IF('Catálogo_SI'!A370="","",'Catálogo_SI'!B370)</f>
        <v/>
      </c>
      <c r="C371" s="9">
        <f>IF('Catálogo_SI'!A370="","",ROUND(COUNTA('Catálogo_SI'!A370:AR370)/44,2))</f>
        <v/>
      </c>
    </row>
    <row r="372">
      <c r="A372" s="2">
        <f>'Catálogo_SI'!A371</f>
        <v/>
      </c>
      <c r="B372" s="2">
        <f>IF('Catálogo_SI'!A371="","",'Catálogo_SI'!B371)</f>
        <v/>
      </c>
      <c r="C372" s="9">
        <f>IF('Catálogo_SI'!A371="","",ROUND(COUNTA('Catálogo_SI'!A371:AR371)/44,2))</f>
        <v/>
      </c>
    </row>
    <row r="373">
      <c r="A373" s="2">
        <f>'Catálogo_SI'!A372</f>
        <v/>
      </c>
      <c r="B373" s="2">
        <f>IF('Catálogo_SI'!A372="","",'Catálogo_SI'!B372)</f>
        <v/>
      </c>
      <c r="C373" s="9">
        <f>IF('Catálogo_SI'!A372="","",ROUND(COUNTA('Catálogo_SI'!A372:AR372)/44,2))</f>
        <v/>
      </c>
    </row>
    <row r="374">
      <c r="A374" s="2">
        <f>'Catálogo_SI'!A373</f>
        <v/>
      </c>
      <c r="B374" s="2">
        <f>IF('Catálogo_SI'!A373="","",'Catálogo_SI'!B373)</f>
        <v/>
      </c>
      <c r="C374" s="9">
        <f>IF('Catálogo_SI'!A373="","",ROUND(COUNTA('Catálogo_SI'!A373:AR373)/44,2))</f>
        <v/>
      </c>
    </row>
    <row r="375">
      <c r="A375" s="2">
        <f>'Catálogo_SI'!A374</f>
        <v/>
      </c>
      <c r="B375" s="2">
        <f>IF('Catálogo_SI'!A374="","",'Catálogo_SI'!B374)</f>
        <v/>
      </c>
      <c r="C375" s="9">
        <f>IF('Catálogo_SI'!A374="","",ROUND(COUNTA('Catálogo_SI'!A374:AR374)/44,2))</f>
        <v/>
      </c>
    </row>
    <row r="376">
      <c r="A376" s="2">
        <f>'Catálogo_SI'!A375</f>
        <v/>
      </c>
      <c r="B376" s="2">
        <f>IF('Catálogo_SI'!A375="","",'Catálogo_SI'!B375)</f>
        <v/>
      </c>
      <c r="C376" s="9">
        <f>IF('Catálogo_SI'!A375="","",ROUND(COUNTA('Catálogo_SI'!A375:AR375)/44,2))</f>
        <v/>
      </c>
    </row>
    <row r="377">
      <c r="A377" s="2">
        <f>'Catálogo_SI'!A376</f>
        <v/>
      </c>
      <c r="B377" s="2">
        <f>IF('Catálogo_SI'!A376="","",'Catálogo_SI'!B376)</f>
        <v/>
      </c>
      <c r="C377" s="9">
        <f>IF('Catálogo_SI'!A376="","",ROUND(COUNTA('Catálogo_SI'!A376:AR376)/44,2))</f>
        <v/>
      </c>
    </row>
    <row r="378">
      <c r="A378" s="2">
        <f>'Catálogo_SI'!A377</f>
        <v/>
      </c>
      <c r="B378" s="2">
        <f>IF('Catálogo_SI'!A377="","",'Catálogo_SI'!B377)</f>
        <v/>
      </c>
      <c r="C378" s="9">
        <f>IF('Catálogo_SI'!A377="","",ROUND(COUNTA('Catálogo_SI'!A377:AR377)/44,2))</f>
        <v/>
      </c>
    </row>
    <row r="379">
      <c r="A379" s="2">
        <f>'Catálogo_SI'!A378</f>
        <v/>
      </c>
      <c r="B379" s="2">
        <f>IF('Catálogo_SI'!A378="","",'Catálogo_SI'!B378)</f>
        <v/>
      </c>
      <c r="C379" s="9">
        <f>IF('Catálogo_SI'!A378="","",ROUND(COUNTA('Catálogo_SI'!A378:AR378)/44,2))</f>
        <v/>
      </c>
    </row>
    <row r="380">
      <c r="A380" s="2">
        <f>'Catálogo_SI'!A379</f>
        <v/>
      </c>
      <c r="B380" s="2">
        <f>IF('Catálogo_SI'!A379="","",'Catálogo_SI'!B379)</f>
        <v/>
      </c>
      <c r="C380" s="9">
        <f>IF('Catálogo_SI'!A379="","",ROUND(COUNTA('Catálogo_SI'!A379:AR379)/44,2))</f>
        <v/>
      </c>
    </row>
    <row r="381">
      <c r="A381" s="2">
        <f>'Catálogo_SI'!A380</f>
        <v/>
      </c>
      <c r="B381" s="2">
        <f>IF('Catálogo_SI'!A380="","",'Catálogo_SI'!B380)</f>
        <v/>
      </c>
      <c r="C381" s="9">
        <f>IF('Catálogo_SI'!A380="","",ROUND(COUNTA('Catálogo_SI'!A380:AR380)/44,2))</f>
        <v/>
      </c>
    </row>
    <row r="382">
      <c r="A382" s="2">
        <f>'Catálogo_SI'!A381</f>
        <v/>
      </c>
      <c r="B382" s="2">
        <f>IF('Catálogo_SI'!A381="","",'Catálogo_SI'!B381)</f>
        <v/>
      </c>
      <c r="C382" s="9">
        <f>IF('Catálogo_SI'!A381="","",ROUND(COUNTA('Catálogo_SI'!A381:AR381)/44,2))</f>
        <v/>
      </c>
    </row>
    <row r="383">
      <c r="A383" s="2">
        <f>'Catálogo_SI'!A382</f>
        <v/>
      </c>
      <c r="B383" s="2">
        <f>IF('Catálogo_SI'!A382="","",'Catálogo_SI'!B382)</f>
        <v/>
      </c>
      <c r="C383" s="9">
        <f>IF('Catálogo_SI'!A382="","",ROUND(COUNTA('Catálogo_SI'!A382:AR382)/44,2))</f>
        <v/>
      </c>
    </row>
    <row r="384">
      <c r="A384" s="2">
        <f>'Catálogo_SI'!A383</f>
        <v/>
      </c>
      <c r="B384" s="2">
        <f>IF('Catálogo_SI'!A383="","",'Catálogo_SI'!B383)</f>
        <v/>
      </c>
      <c r="C384" s="9">
        <f>IF('Catálogo_SI'!A383="","",ROUND(COUNTA('Catálogo_SI'!A383:AR383)/44,2))</f>
        <v/>
      </c>
    </row>
    <row r="385">
      <c r="A385" s="2">
        <f>'Catálogo_SI'!A384</f>
        <v/>
      </c>
      <c r="B385" s="2">
        <f>IF('Catálogo_SI'!A384="","",'Catálogo_SI'!B384)</f>
        <v/>
      </c>
      <c r="C385" s="9">
        <f>IF('Catálogo_SI'!A384="","",ROUND(COUNTA('Catálogo_SI'!A384:AR384)/44,2))</f>
        <v/>
      </c>
    </row>
    <row r="386">
      <c r="A386" s="2">
        <f>'Catálogo_SI'!A385</f>
        <v/>
      </c>
      <c r="B386" s="2">
        <f>IF('Catálogo_SI'!A385="","",'Catálogo_SI'!B385)</f>
        <v/>
      </c>
      <c r="C386" s="9">
        <f>IF('Catálogo_SI'!A385="","",ROUND(COUNTA('Catálogo_SI'!A385:AR385)/44,2))</f>
        <v/>
      </c>
    </row>
    <row r="387">
      <c r="A387" s="2">
        <f>'Catálogo_SI'!A386</f>
        <v/>
      </c>
      <c r="B387" s="2">
        <f>IF('Catálogo_SI'!A386="","",'Catálogo_SI'!B386)</f>
        <v/>
      </c>
      <c r="C387" s="9">
        <f>IF('Catálogo_SI'!A386="","",ROUND(COUNTA('Catálogo_SI'!A386:AR386)/44,2))</f>
        <v/>
      </c>
    </row>
    <row r="388">
      <c r="A388" s="2">
        <f>'Catálogo_SI'!A387</f>
        <v/>
      </c>
      <c r="B388" s="2">
        <f>IF('Catálogo_SI'!A387="","",'Catálogo_SI'!B387)</f>
        <v/>
      </c>
      <c r="C388" s="9">
        <f>IF('Catálogo_SI'!A387="","",ROUND(COUNTA('Catálogo_SI'!A387:AR387)/44,2))</f>
        <v/>
      </c>
    </row>
    <row r="389">
      <c r="A389" s="2">
        <f>'Catálogo_SI'!A388</f>
        <v/>
      </c>
      <c r="B389" s="2">
        <f>IF('Catálogo_SI'!A388="","",'Catálogo_SI'!B388)</f>
        <v/>
      </c>
      <c r="C389" s="9">
        <f>IF('Catálogo_SI'!A388="","",ROUND(COUNTA('Catálogo_SI'!A388:AR388)/44,2))</f>
        <v/>
      </c>
    </row>
    <row r="390">
      <c r="A390" s="2">
        <f>'Catálogo_SI'!A389</f>
        <v/>
      </c>
      <c r="B390" s="2">
        <f>IF('Catálogo_SI'!A389="","",'Catálogo_SI'!B389)</f>
        <v/>
      </c>
      <c r="C390" s="9">
        <f>IF('Catálogo_SI'!A389="","",ROUND(COUNTA('Catálogo_SI'!A389:AR389)/44,2))</f>
        <v/>
      </c>
    </row>
    <row r="391">
      <c r="A391" s="2">
        <f>'Catálogo_SI'!A390</f>
        <v/>
      </c>
      <c r="B391" s="2">
        <f>IF('Catálogo_SI'!A390="","",'Catálogo_SI'!B390)</f>
        <v/>
      </c>
      <c r="C391" s="9">
        <f>IF('Catálogo_SI'!A390="","",ROUND(COUNTA('Catálogo_SI'!A390:AR390)/44,2))</f>
        <v/>
      </c>
    </row>
    <row r="392">
      <c r="A392" s="2">
        <f>'Catálogo_SI'!A391</f>
        <v/>
      </c>
      <c r="B392" s="2">
        <f>IF('Catálogo_SI'!A391="","",'Catálogo_SI'!B391)</f>
        <v/>
      </c>
      <c r="C392" s="9">
        <f>IF('Catálogo_SI'!A391="","",ROUND(COUNTA('Catálogo_SI'!A391:AR391)/44,2))</f>
        <v/>
      </c>
    </row>
    <row r="393">
      <c r="A393" s="2">
        <f>'Catálogo_SI'!A392</f>
        <v/>
      </c>
      <c r="B393" s="2">
        <f>IF('Catálogo_SI'!A392="","",'Catálogo_SI'!B392)</f>
        <v/>
      </c>
      <c r="C393" s="9">
        <f>IF('Catálogo_SI'!A392="","",ROUND(COUNTA('Catálogo_SI'!A392:AR392)/44,2))</f>
        <v/>
      </c>
    </row>
    <row r="394">
      <c r="A394" s="2">
        <f>'Catálogo_SI'!A393</f>
        <v/>
      </c>
      <c r="B394" s="2">
        <f>IF('Catálogo_SI'!A393="","",'Catálogo_SI'!B393)</f>
        <v/>
      </c>
      <c r="C394" s="9">
        <f>IF('Catálogo_SI'!A393="","",ROUND(COUNTA('Catálogo_SI'!A393:AR393)/44,2))</f>
        <v/>
      </c>
    </row>
    <row r="395">
      <c r="A395" s="2">
        <f>'Catálogo_SI'!A394</f>
        <v/>
      </c>
      <c r="B395" s="2">
        <f>IF('Catálogo_SI'!A394="","",'Catálogo_SI'!B394)</f>
        <v/>
      </c>
      <c r="C395" s="9">
        <f>IF('Catálogo_SI'!A394="","",ROUND(COUNTA('Catálogo_SI'!A394:AR394)/44,2))</f>
        <v/>
      </c>
    </row>
    <row r="396">
      <c r="A396" s="2">
        <f>'Catálogo_SI'!A395</f>
        <v/>
      </c>
      <c r="B396" s="2">
        <f>IF('Catálogo_SI'!A395="","",'Catálogo_SI'!B395)</f>
        <v/>
      </c>
      <c r="C396" s="9">
        <f>IF('Catálogo_SI'!A395="","",ROUND(COUNTA('Catálogo_SI'!A395:AR395)/44,2))</f>
        <v/>
      </c>
    </row>
    <row r="397">
      <c r="A397" s="2">
        <f>'Catálogo_SI'!A396</f>
        <v/>
      </c>
      <c r="B397" s="2">
        <f>IF('Catálogo_SI'!A396="","",'Catálogo_SI'!B396)</f>
        <v/>
      </c>
      <c r="C397" s="9">
        <f>IF('Catálogo_SI'!A396="","",ROUND(COUNTA('Catálogo_SI'!A396:AR396)/44,2))</f>
        <v/>
      </c>
    </row>
    <row r="398">
      <c r="A398" s="2">
        <f>'Catálogo_SI'!A397</f>
        <v/>
      </c>
      <c r="B398" s="2">
        <f>IF('Catálogo_SI'!A397="","",'Catálogo_SI'!B397)</f>
        <v/>
      </c>
      <c r="C398" s="9">
        <f>IF('Catálogo_SI'!A397="","",ROUND(COUNTA('Catálogo_SI'!A397:AR397)/44,2))</f>
        <v/>
      </c>
    </row>
    <row r="399">
      <c r="A399" s="2">
        <f>'Catálogo_SI'!A398</f>
        <v/>
      </c>
      <c r="B399" s="2">
        <f>IF('Catálogo_SI'!A398="","",'Catálogo_SI'!B398)</f>
        <v/>
      </c>
      <c r="C399" s="9">
        <f>IF('Catálogo_SI'!A398="","",ROUND(COUNTA('Catálogo_SI'!A398:AR398)/44,2))</f>
        <v/>
      </c>
    </row>
    <row r="400">
      <c r="A400" s="2">
        <f>'Catálogo_SI'!A399</f>
        <v/>
      </c>
      <c r="B400" s="2">
        <f>IF('Catálogo_SI'!A399="","",'Catálogo_SI'!B399)</f>
        <v/>
      </c>
      <c r="C400" s="9">
        <f>IF('Catálogo_SI'!A399="","",ROUND(COUNTA('Catálogo_SI'!A399:AR399)/44,2))</f>
        <v/>
      </c>
    </row>
    <row r="401">
      <c r="A401" s="2">
        <f>'Catálogo_SI'!A400</f>
        <v/>
      </c>
      <c r="B401" s="2">
        <f>IF('Catálogo_SI'!A400="","",'Catálogo_SI'!B400)</f>
        <v/>
      </c>
      <c r="C401" s="9">
        <f>IF('Catálogo_SI'!A400="","",ROUND(COUNTA('Catálogo_SI'!A400:AR400)/44,2))</f>
        <v/>
      </c>
    </row>
    <row r="402">
      <c r="A402" s="2">
        <f>'Catálogo_SI'!A401</f>
        <v/>
      </c>
      <c r="B402" s="2">
        <f>IF('Catálogo_SI'!A401="","",'Catálogo_SI'!B401)</f>
        <v/>
      </c>
      <c r="C402" s="9">
        <f>IF('Catálogo_SI'!A401="","",ROUND(COUNTA('Catálogo_SI'!A401:AR401)/44,2))</f>
        <v/>
      </c>
    </row>
    <row r="403">
      <c r="A403" s="2">
        <f>'Catálogo_SI'!A402</f>
        <v/>
      </c>
      <c r="B403" s="2">
        <f>IF('Catálogo_SI'!A402="","",'Catálogo_SI'!B402)</f>
        <v/>
      </c>
      <c r="C403" s="9">
        <f>IF('Catálogo_SI'!A402="","",ROUND(COUNTA('Catálogo_SI'!A402:AR402)/44,2))</f>
        <v/>
      </c>
    </row>
    <row r="404">
      <c r="A404" s="2">
        <f>'Catálogo_SI'!A403</f>
        <v/>
      </c>
      <c r="B404" s="2">
        <f>IF('Catálogo_SI'!A403="","",'Catálogo_SI'!B403)</f>
        <v/>
      </c>
      <c r="C404" s="9">
        <f>IF('Catálogo_SI'!A403="","",ROUND(COUNTA('Catálogo_SI'!A403:AR403)/44,2))</f>
        <v/>
      </c>
    </row>
    <row r="405">
      <c r="A405" s="2">
        <f>'Catálogo_SI'!A404</f>
        <v/>
      </c>
      <c r="B405" s="2">
        <f>IF('Catálogo_SI'!A404="","",'Catálogo_SI'!B404)</f>
        <v/>
      </c>
      <c r="C405" s="9">
        <f>IF('Catálogo_SI'!A404="","",ROUND(COUNTA('Catálogo_SI'!A404:AR404)/44,2))</f>
        <v/>
      </c>
    </row>
    <row r="406">
      <c r="A406" s="2">
        <f>'Catálogo_SI'!A405</f>
        <v/>
      </c>
      <c r="B406" s="2">
        <f>IF('Catálogo_SI'!A405="","",'Catálogo_SI'!B405)</f>
        <v/>
      </c>
      <c r="C406" s="9">
        <f>IF('Catálogo_SI'!A405="","",ROUND(COUNTA('Catálogo_SI'!A405:AR405)/44,2))</f>
        <v/>
      </c>
    </row>
    <row r="407">
      <c r="A407" s="2">
        <f>'Catálogo_SI'!A406</f>
        <v/>
      </c>
      <c r="B407" s="2">
        <f>IF('Catálogo_SI'!A406="","",'Catálogo_SI'!B406)</f>
        <v/>
      </c>
      <c r="C407" s="9">
        <f>IF('Catálogo_SI'!A406="","",ROUND(COUNTA('Catálogo_SI'!A406:AR406)/44,2))</f>
        <v/>
      </c>
    </row>
    <row r="408">
      <c r="A408" s="2">
        <f>'Catálogo_SI'!A407</f>
        <v/>
      </c>
      <c r="B408" s="2">
        <f>IF('Catálogo_SI'!A407="","",'Catálogo_SI'!B407)</f>
        <v/>
      </c>
      <c r="C408" s="9">
        <f>IF('Catálogo_SI'!A407="","",ROUND(COUNTA('Catálogo_SI'!A407:AR407)/44,2))</f>
        <v/>
      </c>
    </row>
    <row r="409">
      <c r="A409" s="2">
        <f>'Catálogo_SI'!A408</f>
        <v/>
      </c>
      <c r="B409" s="2">
        <f>IF('Catálogo_SI'!A408="","",'Catálogo_SI'!B408)</f>
        <v/>
      </c>
      <c r="C409" s="9">
        <f>IF('Catálogo_SI'!A408="","",ROUND(COUNTA('Catálogo_SI'!A408:AR408)/44,2))</f>
        <v/>
      </c>
    </row>
    <row r="410">
      <c r="A410" s="2">
        <f>'Catálogo_SI'!A409</f>
        <v/>
      </c>
      <c r="B410" s="2">
        <f>IF('Catálogo_SI'!A409="","",'Catálogo_SI'!B409)</f>
        <v/>
      </c>
      <c r="C410" s="9">
        <f>IF('Catálogo_SI'!A409="","",ROUND(COUNTA('Catálogo_SI'!A409:AR409)/44,2))</f>
        <v/>
      </c>
    </row>
    <row r="411">
      <c r="A411" s="2">
        <f>'Catálogo_SI'!A410</f>
        <v/>
      </c>
      <c r="B411" s="2">
        <f>IF('Catálogo_SI'!A410="","",'Catálogo_SI'!B410)</f>
        <v/>
      </c>
      <c r="C411" s="9">
        <f>IF('Catálogo_SI'!A410="","",ROUND(COUNTA('Catálogo_SI'!A410:AR410)/44,2))</f>
        <v/>
      </c>
    </row>
    <row r="412">
      <c r="A412" s="2">
        <f>'Catálogo_SI'!A411</f>
        <v/>
      </c>
      <c r="B412" s="2">
        <f>IF('Catálogo_SI'!A411="","",'Catálogo_SI'!B411)</f>
        <v/>
      </c>
      <c r="C412" s="9">
        <f>IF('Catálogo_SI'!A411="","",ROUND(COUNTA('Catálogo_SI'!A411:AR411)/44,2))</f>
        <v/>
      </c>
    </row>
    <row r="413">
      <c r="A413" s="2">
        <f>'Catálogo_SI'!A412</f>
        <v/>
      </c>
      <c r="B413" s="2">
        <f>IF('Catálogo_SI'!A412="","",'Catálogo_SI'!B412)</f>
        <v/>
      </c>
      <c r="C413" s="9">
        <f>IF('Catálogo_SI'!A412="","",ROUND(COUNTA('Catálogo_SI'!A412:AR412)/44,2))</f>
        <v/>
      </c>
    </row>
    <row r="414">
      <c r="A414" s="2">
        <f>'Catálogo_SI'!A413</f>
        <v/>
      </c>
      <c r="B414" s="2">
        <f>IF('Catálogo_SI'!A413="","",'Catálogo_SI'!B413)</f>
        <v/>
      </c>
      <c r="C414" s="9">
        <f>IF('Catálogo_SI'!A413="","",ROUND(COUNTA('Catálogo_SI'!A413:AR413)/44,2))</f>
        <v/>
      </c>
    </row>
    <row r="415">
      <c r="A415" s="2">
        <f>'Catálogo_SI'!A414</f>
        <v/>
      </c>
      <c r="B415" s="2">
        <f>IF('Catálogo_SI'!A414="","",'Catálogo_SI'!B414)</f>
        <v/>
      </c>
      <c r="C415" s="9">
        <f>IF('Catálogo_SI'!A414="","",ROUND(COUNTA('Catálogo_SI'!A414:AR414)/44,2))</f>
        <v/>
      </c>
    </row>
    <row r="416">
      <c r="A416" s="2">
        <f>'Catálogo_SI'!A415</f>
        <v/>
      </c>
      <c r="B416" s="2">
        <f>IF('Catálogo_SI'!A415="","",'Catálogo_SI'!B415)</f>
        <v/>
      </c>
      <c r="C416" s="9">
        <f>IF('Catálogo_SI'!A415="","",ROUND(COUNTA('Catálogo_SI'!A415:AR415)/44,2))</f>
        <v/>
      </c>
    </row>
    <row r="417">
      <c r="A417" s="2">
        <f>'Catálogo_SI'!A416</f>
        <v/>
      </c>
      <c r="B417" s="2">
        <f>IF('Catálogo_SI'!A416="","",'Catálogo_SI'!B416)</f>
        <v/>
      </c>
      <c r="C417" s="9">
        <f>IF('Catálogo_SI'!A416="","",ROUND(COUNTA('Catálogo_SI'!A416:AR416)/44,2))</f>
        <v/>
      </c>
    </row>
    <row r="418">
      <c r="A418" s="2">
        <f>'Catálogo_SI'!A417</f>
        <v/>
      </c>
      <c r="B418" s="2">
        <f>IF('Catálogo_SI'!A417="","",'Catálogo_SI'!B417)</f>
        <v/>
      </c>
      <c r="C418" s="9">
        <f>IF('Catálogo_SI'!A417="","",ROUND(COUNTA('Catálogo_SI'!A417:AR417)/44,2))</f>
        <v/>
      </c>
    </row>
    <row r="419">
      <c r="A419" s="2">
        <f>'Catálogo_SI'!A418</f>
        <v/>
      </c>
      <c r="B419" s="2">
        <f>IF('Catálogo_SI'!A418="","",'Catálogo_SI'!B418)</f>
        <v/>
      </c>
      <c r="C419" s="9">
        <f>IF('Catálogo_SI'!A418="","",ROUND(COUNTA('Catálogo_SI'!A418:AR418)/44,2))</f>
        <v/>
      </c>
    </row>
    <row r="420">
      <c r="A420" s="2">
        <f>'Catálogo_SI'!A419</f>
        <v/>
      </c>
      <c r="B420" s="2">
        <f>IF('Catálogo_SI'!A419="","",'Catálogo_SI'!B419)</f>
        <v/>
      </c>
      <c r="C420" s="9">
        <f>IF('Catálogo_SI'!A419="","",ROUND(COUNTA('Catálogo_SI'!A419:AR419)/44,2))</f>
        <v/>
      </c>
    </row>
    <row r="421">
      <c r="A421" s="2">
        <f>'Catálogo_SI'!A420</f>
        <v/>
      </c>
      <c r="B421" s="2">
        <f>IF('Catálogo_SI'!A420="","",'Catálogo_SI'!B420)</f>
        <v/>
      </c>
      <c r="C421" s="9">
        <f>IF('Catálogo_SI'!A420="","",ROUND(COUNTA('Catálogo_SI'!A420:AR420)/44,2))</f>
        <v/>
      </c>
    </row>
    <row r="422">
      <c r="A422" s="2">
        <f>'Catálogo_SI'!A421</f>
        <v/>
      </c>
      <c r="B422" s="2">
        <f>IF('Catálogo_SI'!A421="","",'Catálogo_SI'!B421)</f>
        <v/>
      </c>
      <c r="C422" s="9">
        <f>IF('Catálogo_SI'!A421="","",ROUND(COUNTA('Catálogo_SI'!A421:AR421)/44,2))</f>
        <v/>
      </c>
    </row>
    <row r="423">
      <c r="A423" s="2">
        <f>'Catálogo_SI'!A422</f>
        <v/>
      </c>
      <c r="B423" s="2">
        <f>IF('Catálogo_SI'!A422="","",'Catálogo_SI'!B422)</f>
        <v/>
      </c>
      <c r="C423" s="9">
        <f>IF('Catálogo_SI'!A422="","",ROUND(COUNTA('Catálogo_SI'!A422:AR422)/44,2))</f>
        <v/>
      </c>
    </row>
    <row r="424">
      <c r="A424" s="2">
        <f>'Catálogo_SI'!A423</f>
        <v/>
      </c>
      <c r="B424" s="2">
        <f>IF('Catálogo_SI'!A423="","",'Catálogo_SI'!B423)</f>
        <v/>
      </c>
      <c r="C424" s="9">
        <f>IF('Catálogo_SI'!A423="","",ROUND(COUNTA('Catálogo_SI'!A423:AR423)/44,2))</f>
        <v/>
      </c>
    </row>
    <row r="425">
      <c r="A425" s="2">
        <f>'Catálogo_SI'!A424</f>
        <v/>
      </c>
      <c r="B425" s="2">
        <f>IF('Catálogo_SI'!A424="","",'Catálogo_SI'!B424)</f>
        <v/>
      </c>
      <c r="C425" s="9">
        <f>IF('Catálogo_SI'!A424="","",ROUND(COUNTA('Catálogo_SI'!A424:AR424)/44,2))</f>
        <v/>
      </c>
    </row>
    <row r="426">
      <c r="A426" s="2">
        <f>'Catálogo_SI'!A425</f>
        <v/>
      </c>
      <c r="B426" s="2">
        <f>IF('Catálogo_SI'!A425="","",'Catálogo_SI'!B425)</f>
        <v/>
      </c>
      <c r="C426" s="9">
        <f>IF('Catálogo_SI'!A425="","",ROUND(COUNTA('Catálogo_SI'!A425:AR425)/44,2))</f>
        <v/>
      </c>
    </row>
    <row r="427">
      <c r="A427" s="2">
        <f>'Catálogo_SI'!A426</f>
        <v/>
      </c>
      <c r="B427" s="2">
        <f>IF('Catálogo_SI'!A426="","",'Catálogo_SI'!B426)</f>
        <v/>
      </c>
      <c r="C427" s="9">
        <f>IF('Catálogo_SI'!A426="","",ROUND(COUNTA('Catálogo_SI'!A426:AR426)/44,2))</f>
        <v/>
      </c>
    </row>
    <row r="428">
      <c r="A428" s="2">
        <f>'Catálogo_SI'!A427</f>
        <v/>
      </c>
      <c r="B428" s="2">
        <f>IF('Catálogo_SI'!A427="","",'Catálogo_SI'!B427)</f>
        <v/>
      </c>
      <c r="C428" s="9">
        <f>IF('Catálogo_SI'!A427="","",ROUND(COUNTA('Catálogo_SI'!A427:AR427)/44,2))</f>
        <v/>
      </c>
    </row>
    <row r="429">
      <c r="A429" s="2">
        <f>'Catálogo_SI'!A428</f>
        <v/>
      </c>
      <c r="B429" s="2">
        <f>IF('Catálogo_SI'!A428="","",'Catálogo_SI'!B428)</f>
        <v/>
      </c>
      <c r="C429" s="9">
        <f>IF('Catálogo_SI'!A428="","",ROUND(COUNTA('Catálogo_SI'!A428:AR428)/44,2))</f>
        <v/>
      </c>
    </row>
    <row r="430">
      <c r="A430" s="2">
        <f>'Catálogo_SI'!A429</f>
        <v/>
      </c>
      <c r="B430" s="2">
        <f>IF('Catálogo_SI'!A429="","",'Catálogo_SI'!B429)</f>
        <v/>
      </c>
      <c r="C430" s="9">
        <f>IF('Catálogo_SI'!A429="","",ROUND(COUNTA('Catálogo_SI'!A429:AR429)/44,2))</f>
        <v/>
      </c>
    </row>
    <row r="431">
      <c r="A431" s="2">
        <f>'Catálogo_SI'!A430</f>
        <v/>
      </c>
      <c r="B431" s="2">
        <f>IF('Catálogo_SI'!A430="","",'Catálogo_SI'!B430)</f>
        <v/>
      </c>
      <c r="C431" s="9">
        <f>IF('Catálogo_SI'!A430="","",ROUND(COUNTA('Catálogo_SI'!A430:AR430)/44,2))</f>
        <v/>
      </c>
    </row>
    <row r="432">
      <c r="A432" s="2">
        <f>'Catálogo_SI'!A431</f>
        <v/>
      </c>
      <c r="B432" s="2">
        <f>IF('Catálogo_SI'!A431="","",'Catálogo_SI'!B431)</f>
        <v/>
      </c>
      <c r="C432" s="9">
        <f>IF('Catálogo_SI'!A431="","",ROUND(COUNTA('Catálogo_SI'!A431:AR431)/44,2))</f>
        <v/>
      </c>
    </row>
    <row r="433">
      <c r="A433" s="2">
        <f>'Catálogo_SI'!A432</f>
        <v/>
      </c>
      <c r="B433" s="2">
        <f>IF('Catálogo_SI'!A432="","",'Catálogo_SI'!B432)</f>
        <v/>
      </c>
      <c r="C433" s="9">
        <f>IF('Catálogo_SI'!A432="","",ROUND(COUNTA('Catálogo_SI'!A432:AR432)/44,2))</f>
        <v/>
      </c>
    </row>
    <row r="434">
      <c r="A434" s="2">
        <f>'Catálogo_SI'!A433</f>
        <v/>
      </c>
      <c r="B434" s="2">
        <f>IF('Catálogo_SI'!A433="","",'Catálogo_SI'!B433)</f>
        <v/>
      </c>
      <c r="C434" s="9">
        <f>IF('Catálogo_SI'!A433="","",ROUND(COUNTA('Catálogo_SI'!A433:AR433)/44,2))</f>
        <v/>
      </c>
    </row>
    <row r="435">
      <c r="A435" s="2">
        <f>'Catálogo_SI'!A434</f>
        <v/>
      </c>
      <c r="B435" s="2">
        <f>IF('Catálogo_SI'!A434="","",'Catálogo_SI'!B434)</f>
        <v/>
      </c>
      <c r="C435" s="9">
        <f>IF('Catálogo_SI'!A434="","",ROUND(COUNTA('Catálogo_SI'!A434:AR434)/44,2))</f>
        <v/>
      </c>
    </row>
    <row r="436">
      <c r="A436" s="2">
        <f>'Catálogo_SI'!A435</f>
        <v/>
      </c>
      <c r="B436" s="2">
        <f>IF('Catálogo_SI'!A435="","",'Catálogo_SI'!B435)</f>
        <v/>
      </c>
      <c r="C436" s="9">
        <f>IF('Catálogo_SI'!A435="","",ROUND(COUNTA('Catálogo_SI'!A435:AR435)/44,2))</f>
        <v/>
      </c>
    </row>
    <row r="437">
      <c r="A437" s="2">
        <f>'Catálogo_SI'!A436</f>
        <v/>
      </c>
      <c r="B437" s="2">
        <f>IF('Catálogo_SI'!A436="","",'Catálogo_SI'!B436)</f>
        <v/>
      </c>
      <c r="C437" s="9">
        <f>IF('Catálogo_SI'!A436="","",ROUND(COUNTA('Catálogo_SI'!A436:AR436)/44,2))</f>
        <v/>
      </c>
    </row>
    <row r="438">
      <c r="A438" s="2">
        <f>'Catálogo_SI'!A437</f>
        <v/>
      </c>
      <c r="B438" s="2">
        <f>IF('Catálogo_SI'!A437="","",'Catálogo_SI'!B437)</f>
        <v/>
      </c>
      <c r="C438" s="9">
        <f>IF('Catálogo_SI'!A437="","",ROUND(COUNTA('Catálogo_SI'!A437:AR437)/44,2))</f>
        <v/>
      </c>
    </row>
    <row r="439">
      <c r="A439" s="2">
        <f>'Catálogo_SI'!A438</f>
        <v/>
      </c>
      <c r="B439" s="2">
        <f>IF('Catálogo_SI'!A438="","",'Catálogo_SI'!B438)</f>
        <v/>
      </c>
      <c r="C439" s="9">
        <f>IF('Catálogo_SI'!A438="","",ROUND(COUNTA('Catálogo_SI'!A438:AR438)/44,2))</f>
        <v/>
      </c>
    </row>
    <row r="440">
      <c r="A440" s="2">
        <f>'Catálogo_SI'!A439</f>
        <v/>
      </c>
      <c r="B440" s="2">
        <f>IF('Catálogo_SI'!A439="","",'Catálogo_SI'!B439)</f>
        <v/>
      </c>
      <c r="C440" s="9">
        <f>IF('Catálogo_SI'!A439="","",ROUND(COUNTA('Catálogo_SI'!A439:AR439)/44,2))</f>
        <v/>
      </c>
    </row>
    <row r="441">
      <c r="A441" s="2">
        <f>'Catálogo_SI'!A440</f>
        <v/>
      </c>
      <c r="B441" s="2">
        <f>IF('Catálogo_SI'!A440="","",'Catálogo_SI'!B440)</f>
        <v/>
      </c>
      <c r="C441" s="9">
        <f>IF('Catálogo_SI'!A440="","",ROUND(COUNTA('Catálogo_SI'!A440:AR440)/44,2))</f>
        <v/>
      </c>
    </row>
    <row r="442">
      <c r="A442" s="2">
        <f>'Catálogo_SI'!A441</f>
        <v/>
      </c>
      <c r="B442" s="2">
        <f>IF('Catálogo_SI'!A441="","",'Catálogo_SI'!B441)</f>
        <v/>
      </c>
      <c r="C442" s="9">
        <f>IF('Catálogo_SI'!A441="","",ROUND(COUNTA('Catálogo_SI'!A441:AR441)/44,2))</f>
        <v/>
      </c>
    </row>
    <row r="443">
      <c r="A443" s="2">
        <f>'Catálogo_SI'!A442</f>
        <v/>
      </c>
      <c r="B443" s="2">
        <f>IF('Catálogo_SI'!A442="","",'Catálogo_SI'!B442)</f>
        <v/>
      </c>
      <c r="C443" s="9">
        <f>IF('Catálogo_SI'!A442="","",ROUND(COUNTA('Catálogo_SI'!A442:AR442)/44,2))</f>
        <v/>
      </c>
    </row>
    <row r="444">
      <c r="A444" s="2">
        <f>'Catálogo_SI'!A443</f>
        <v/>
      </c>
      <c r="B444" s="2">
        <f>IF('Catálogo_SI'!A443="","",'Catálogo_SI'!B443)</f>
        <v/>
      </c>
      <c r="C444" s="9">
        <f>IF('Catálogo_SI'!A443="","",ROUND(COUNTA('Catálogo_SI'!A443:AR443)/44,2))</f>
        <v/>
      </c>
    </row>
    <row r="445">
      <c r="A445" s="2">
        <f>'Catálogo_SI'!A444</f>
        <v/>
      </c>
      <c r="B445" s="2">
        <f>IF('Catálogo_SI'!A444="","",'Catálogo_SI'!B444)</f>
        <v/>
      </c>
      <c r="C445" s="9">
        <f>IF('Catálogo_SI'!A444="","",ROUND(COUNTA('Catálogo_SI'!A444:AR444)/44,2))</f>
        <v/>
      </c>
    </row>
    <row r="446">
      <c r="A446" s="2">
        <f>'Catálogo_SI'!A445</f>
        <v/>
      </c>
      <c r="B446" s="2">
        <f>IF('Catálogo_SI'!A445="","",'Catálogo_SI'!B445)</f>
        <v/>
      </c>
      <c r="C446" s="9">
        <f>IF('Catálogo_SI'!A445="","",ROUND(COUNTA('Catálogo_SI'!A445:AR445)/44,2))</f>
        <v/>
      </c>
    </row>
    <row r="447">
      <c r="A447" s="2">
        <f>'Catálogo_SI'!A446</f>
        <v/>
      </c>
      <c r="B447" s="2">
        <f>IF('Catálogo_SI'!A446="","",'Catálogo_SI'!B446)</f>
        <v/>
      </c>
      <c r="C447" s="9">
        <f>IF('Catálogo_SI'!A446="","",ROUND(COUNTA('Catálogo_SI'!A446:AR446)/44,2))</f>
        <v/>
      </c>
    </row>
    <row r="448">
      <c r="A448" s="2">
        <f>'Catálogo_SI'!A447</f>
        <v/>
      </c>
      <c r="B448" s="2">
        <f>IF('Catálogo_SI'!A447="","",'Catálogo_SI'!B447)</f>
        <v/>
      </c>
      <c r="C448" s="9">
        <f>IF('Catálogo_SI'!A447="","",ROUND(COUNTA('Catálogo_SI'!A447:AR447)/44,2))</f>
        <v/>
      </c>
    </row>
    <row r="449">
      <c r="A449" s="2">
        <f>'Catálogo_SI'!A448</f>
        <v/>
      </c>
      <c r="B449" s="2">
        <f>IF('Catálogo_SI'!A448="","",'Catálogo_SI'!B448)</f>
        <v/>
      </c>
      <c r="C449" s="9">
        <f>IF('Catálogo_SI'!A448="","",ROUND(COUNTA('Catálogo_SI'!A448:AR448)/44,2))</f>
        <v/>
      </c>
    </row>
    <row r="450">
      <c r="A450" s="2">
        <f>'Catálogo_SI'!A449</f>
        <v/>
      </c>
      <c r="B450" s="2">
        <f>IF('Catálogo_SI'!A449="","",'Catálogo_SI'!B449)</f>
        <v/>
      </c>
      <c r="C450" s="9">
        <f>IF('Catálogo_SI'!A449="","",ROUND(COUNTA('Catálogo_SI'!A449:AR449)/44,2))</f>
        <v/>
      </c>
    </row>
    <row r="451">
      <c r="A451" s="2">
        <f>'Catálogo_SI'!A450</f>
        <v/>
      </c>
      <c r="B451" s="2">
        <f>IF('Catálogo_SI'!A450="","",'Catálogo_SI'!B450)</f>
        <v/>
      </c>
      <c r="C451" s="9">
        <f>IF('Catálogo_SI'!A450="","",ROUND(COUNTA('Catálogo_SI'!A450:AR450)/44,2))</f>
        <v/>
      </c>
    </row>
    <row r="452">
      <c r="A452" s="2">
        <f>'Catálogo_SI'!A451</f>
        <v/>
      </c>
      <c r="B452" s="2">
        <f>IF('Catálogo_SI'!A451="","",'Catálogo_SI'!B451)</f>
        <v/>
      </c>
      <c r="C452" s="9">
        <f>IF('Catálogo_SI'!A451="","",ROUND(COUNTA('Catálogo_SI'!A451:AR451)/44,2))</f>
        <v/>
      </c>
    </row>
    <row r="453">
      <c r="A453" s="2">
        <f>'Catálogo_SI'!A452</f>
        <v/>
      </c>
      <c r="B453" s="2">
        <f>IF('Catálogo_SI'!A452="","",'Catálogo_SI'!B452)</f>
        <v/>
      </c>
      <c r="C453" s="9">
        <f>IF('Catálogo_SI'!A452="","",ROUND(COUNTA('Catálogo_SI'!A452:AR452)/44,2))</f>
        <v/>
      </c>
    </row>
    <row r="454">
      <c r="A454" s="2">
        <f>'Catálogo_SI'!A453</f>
        <v/>
      </c>
      <c r="B454" s="2">
        <f>IF('Catálogo_SI'!A453="","",'Catálogo_SI'!B453)</f>
        <v/>
      </c>
      <c r="C454" s="9">
        <f>IF('Catálogo_SI'!A453="","",ROUND(COUNTA('Catálogo_SI'!A453:AR453)/44,2))</f>
        <v/>
      </c>
    </row>
    <row r="455">
      <c r="A455" s="2">
        <f>'Catálogo_SI'!A454</f>
        <v/>
      </c>
      <c r="B455" s="2">
        <f>IF('Catálogo_SI'!A454="","",'Catálogo_SI'!B454)</f>
        <v/>
      </c>
      <c r="C455" s="9">
        <f>IF('Catálogo_SI'!A454="","",ROUND(COUNTA('Catálogo_SI'!A454:AR454)/44,2))</f>
        <v/>
      </c>
    </row>
    <row r="456">
      <c r="A456" s="2">
        <f>'Catálogo_SI'!A455</f>
        <v/>
      </c>
      <c r="B456" s="2">
        <f>IF('Catálogo_SI'!A455="","",'Catálogo_SI'!B455)</f>
        <v/>
      </c>
      <c r="C456" s="9">
        <f>IF('Catálogo_SI'!A455="","",ROUND(COUNTA('Catálogo_SI'!A455:AR455)/44,2))</f>
        <v/>
      </c>
    </row>
    <row r="457">
      <c r="A457" s="2">
        <f>'Catálogo_SI'!A456</f>
        <v/>
      </c>
      <c r="B457" s="2">
        <f>IF('Catálogo_SI'!A456="","",'Catálogo_SI'!B456)</f>
        <v/>
      </c>
      <c r="C457" s="9">
        <f>IF('Catálogo_SI'!A456="","",ROUND(COUNTA('Catálogo_SI'!A456:AR456)/44,2))</f>
        <v/>
      </c>
    </row>
    <row r="458">
      <c r="A458" s="2">
        <f>'Catálogo_SI'!A457</f>
        <v/>
      </c>
      <c r="B458" s="2">
        <f>IF('Catálogo_SI'!A457="","",'Catálogo_SI'!B457)</f>
        <v/>
      </c>
      <c r="C458" s="9">
        <f>IF('Catálogo_SI'!A457="","",ROUND(COUNTA('Catálogo_SI'!A457:AR457)/44,2))</f>
        <v/>
      </c>
    </row>
    <row r="459">
      <c r="A459" s="2">
        <f>'Catálogo_SI'!A458</f>
        <v/>
      </c>
      <c r="B459" s="2">
        <f>IF('Catálogo_SI'!A458="","",'Catálogo_SI'!B458)</f>
        <v/>
      </c>
      <c r="C459" s="9">
        <f>IF('Catálogo_SI'!A458="","",ROUND(COUNTA('Catálogo_SI'!A458:AR458)/44,2))</f>
        <v/>
      </c>
    </row>
    <row r="460">
      <c r="A460" s="2">
        <f>'Catálogo_SI'!A459</f>
        <v/>
      </c>
      <c r="B460" s="2">
        <f>IF('Catálogo_SI'!A459="","",'Catálogo_SI'!B459)</f>
        <v/>
      </c>
      <c r="C460" s="9">
        <f>IF('Catálogo_SI'!A459="","",ROUND(COUNTA('Catálogo_SI'!A459:AR459)/44,2))</f>
        <v/>
      </c>
    </row>
    <row r="461">
      <c r="A461" s="2">
        <f>'Catálogo_SI'!A460</f>
        <v/>
      </c>
      <c r="B461" s="2">
        <f>IF('Catálogo_SI'!A460="","",'Catálogo_SI'!B460)</f>
        <v/>
      </c>
      <c r="C461" s="9">
        <f>IF('Catálogo_SI'!A460="","",ROUND(COUNTA('Catálogo_SI'!A460:AR460)/44,2))</f>
        <v/>
      </c>
    </row>
    <row r="462">
      <c r="A462" s="2">
        <f>'Catálogo_SI'!A461</f>
        <v/>
      </c>
      <c r="B462" s="2">
        <f>IF('Catálogo_SI'!A461="","",'Catálogo_SI'!B461)</f>
        <v/>
      </c>
      <c r="C462" s="9">
        <f>IF('Catálogo_SI'!A461="","",ROUND(COUNTA('Catálogo_SI'!A461:AR461)/44,2))</f>
        <v/>
      </c>
    </row>
    <row r="463">
      <c r="A463" s="2">
        <f>'Catálogo_SI'!A462</f>
        <v/>
      </c>
      <c r="B463" s="2">
        <f>IF('Catálogo_SI'!A462="","",'Catálogo_SI'!B462)</f>
        <v/>
      </c>
      <c r="C463" s="9">
        <f>IF('Catálogo_SI'!A462="","",ROUND(COUNTA('Catálogo_SI'!A462:AR462)/44,2))</f>
        <v/>
      </c>
    </row>
    <row r="464">
      <c r="A464" s="2">
        <f>'Catálogo_SI'!A463</f>
        <v/>
      </c>
      <c r="B464" s="2">
        <f>IF('Catálogo_SI'!A463="","",'Catálogo_SI'!B463)</f>
        <v/>
      </c>
      <c r="C464" s="9">
        <f>IF('Catálogo_SI'!A463="","",ROUND(COUNTA('Catálogo_SI'!A463:AR463)/44,2))</f>
        <v/>
      </c>
    </row>
    <row r="465">
      <c r="A465" s="2">
        <f>'Catálogo_SI'!A464</f>
        <v/>
      </c>
      <c r="B465" s="2">
        <f>IF('Catálogo_SI'!A464="","",'Catálogo_SI'!B464)</f>
        <v/>
      </c>
      <c r="C465" s="9">
        <f>IF('Catálogo_SI'!A464="","",ROUND(COUNTA('Catálogo_SI'!A464:AR464)/44,2))</f>
        <v/>
      </c>
    </row>
    <row r="466">
      <c r="A466" s="2">
        <f>'Catálogo_SI'!A465</f>
        <v/>
      </c>
      <c r="B466" s="2">
        <f>IF('Catálogo_SI'!A465="","",'Catálogo_SI'!B465)</f>
        <v/>
      </c>
      <c r="C466" s="9">
        <f>IF('Catálogo_SI'!A465="","",ROUND(COUNTA('Catálogo_SI'!A465:AR465)/44,2))</f>
        <v/>
      </c>
    </row>
    <row r="467">
      <c r="A467" s="2">
        <f>'Catálogo_SI'!A466</f>
        <v/>
      </c>
      <c r="B467" s="2">
        <f>IF('Catálogo_SI'!A466="","",'Catálogo_SI'!B466)</f>
        <v/>
      </c>
      <c r="C467" s="9">
        <f>IF('Catálogo_SI'!A466="","",ROUND(COUNTA('Catálogo_SI'!A466:AR466)/44,2))</f>
        <v/>
      </c>
    </row>
    <row r="468">
      <c r="A468" s="2">
        <f>'Catálogo_SI'!A467</f>
        <v/>
      </c>
      <c r="B468" s="2">
        <f>IF('Catálogo_SI'!A467="","",'Catálogo_SI'!B467)</f>
        <v/>
      </c>
      <c r="C468" s="9">
        <f>IF('Catálogo_SI'!A467="","",ROUND(COUNTA('Catálogo_SI'!A467:AR467)/44,2))</f>
        <v/>
      </c>
    </row>
    <row r="469">
      <c r="A469" s="2">
        <f>'Catálogo_SI'!A468</f>
        <v/>
      </c>
      <c r="B469" s="2">
        <f>IF('Catálogo_SI'!A468="","",'Catálogo_SI'!B468)</f>
        <v/>
      </c>
      <c r="C469" s="9">
        <f>IF('Catálogo_SI'!A468="","",ROUND(COUNTA('Catálogo_SI'!A468:AR468)/44,2))</f>
        <v/>
      </c>
    </row>
    <row r="470">
      <c r="A470" s="2">
        <f>'Catálogo_SI'!A469</f>
        <v/>
      </c>
      <c r="B470" s="2">
        <f>IF('Catálogo_SI'!A469="","",'Catálogo_SI'!B469)</f>
        <v/>
      </c>
      <c r="C470" s="9">
        <f>IF('Catálogo_SI'!A469="","",ROUND(COUNTA('Catálogo_SI'!A469:AR469)/44,2))</f>
        <v/>
      </c>
    </row>
    <row r="471">
      <c r="A471" s="2">
        <f>'Catálogo_SI'!A470</f>
        <v/>
      </c>
      <c r="B471" s="2">
        <f>IF('Catálogo_SI'!A470="","",'Catálogo_SI'!B470)</f>
        <v/>
      </c>
      <c r="C471" s="9">
        <f>IF('Catálogo_SI'!A470="","",ROUND(COUNTA('Catálogo_SI'!A470:AR470)/44,2))</f>
        <v/>
      </c>
    </row>
    <row r="472">
      <c r="A472" s="2">
        <f>'Catálogo_SI'!A471</f>
        <v/>
      </c>
      <c r="B472" s="2">
        <f>IF('Catálogo_SI'!A471="","",'Catálogo_SI'!B471)</f>
        <v/>
      </c>
      <c r="C472" s="9">
        <f>IF('Catálogo_SI'!A471="","",ROUND(COUNTA('Catálogo_SI'!A471:AR471)/44,2))</f>
        <v/>
      </c>
    </row>
    <row r="473">
      <c r="A473" s="2">
        <f>'Catálogo_SI'!A472</f>
        <v/>
      </c>
      <c r="B473" s="2">
        <f>IF('Catálogo_SI'!A472="","",'Catálogo_SI'!B472)</f>
        <v/>
      </c>
      <c r="C473" s="9">
        <f>IF('Catálogo_SI'!A472="","",ROUND(COUNTA('Catálogo_SI'!A472:AR472)/44,2))</f>
        <v/>
      </c>
    </row>
    <row r="474">
      <c r="A474" s="2">
        <f>'Catálogo_SI'!A473</f>
        <v/>
      </c>
      <c r="B474" s="2">
        <f>IF('Catálogo_SI'!A473="","",'Catálogo_SI'!B473)</f>
        <v/>
      </c>
      <c r="C474" s="9">
        <f>IF('Catálogo_SI'!A473="","",ROUND(COUNTA('Catálogo_SI'!A473:AR473)/44,2))</f>
        <v/>
      </c>
    </row>
    <row r="475">
      <c r="A475" s="2">
        <f>'Catálogo_SI'!A474</f>
        <v/>
      </c>
      <c r="B475" s="2">
        <f>IF('Catálogo_SI'!A474="","",'Catálogo_SI'!B474)</f>
        <v/>
      </c>
      <c r="C475" s="9">
        <f>IF('Catálogo_SI'!A474="","",ROUND(COUNTA('Catálogo_SI'!A474:AR474)/44,2))</f>
        <v/>
      </c>
    </row>
    <row r="476">
      <c r="A476" s="2">
        <f>'Catálogo_SI'!A475</f>
        <v/>
      </c>
      <c r="B476" s="2">
        <f>IF('Catálogo_SI'!A475="","",'Catálogo_SI'!B475)</f>
        <v/>
      </c>
      <c r="C476" s="9">
        <f>IF('Catálogo_SI'!A475="","",ROUND(COUNTA('Catálogo_SI'!A475:AR475)/44,2))</f>
        <v/>
      </c>
    </row>
    <row r="477">
      <c r="A477" s="2">
        <f>'Catálogo_SI'!A476</f>
        <v/>
      </c>
      <c r="B477" s="2">
        <f>IF('Catálogo_SI'!A476="","",'Catálogo_SI'!B476)</f>
        <v/>
      </c>
      <c r="C477" s="9">
        <f>IF('Catálogo_SI'!A476="","",ROUND(COUNTA('Catálogo_SI'!A476:AR476)/44,2))</f>
        <v/>
      </c>
    </row>
    <row r="478">
      <c r="A478" s="2">
        <f>'Catálogo_SI'!A477</f>
        <v/>
      </c>
      <c r="B478" s="2">
        <f>IF('Catálogo_SI'!A477="","",'Catálogo_SI'!B477)</f>
        <v/>
      </c>
      <c r="C478" s="9">
        <f>IF('Catálogo_SI'!A477="","",ROUND(COUNTA('Catálogo_SI'!A477:AR477)/44,2))</f>
        <v/>
      </c>
    </row>
    <row r="479">
      <c r="A479" s="2">
        <f>'Catálogo_SI'!A478</f>
        <v/>
      </c>
      <c r="B479" s="2">
        <f>IF('Catálogo_SI'!A478="","",'Catálogo_SI'!B478)</f>
        <v/>
      </c>
      <c r="C479" s="9">
        <f>IF('Catálogo_SI'!A478="","",ROUND(COUNTA('Catálogo_SI'!A478:AR478)/44,2))</f>
        <v/>
      </c>
    </row>
    <row r="480">
      <c r="A480" s="2">
        <f>'Catálogo_SI'!A479</f>
        <v/>
      </c>
      <c r="B480" s="2">
        <f>IF('Catálogo_SI'!A479="","",'Catálogo_SI'!B479)</f>
        <v/>
      </c>
      <c r="C480" s="9">
        <f>IF('Catálogo_SI'!A479="","",ROUND(COUNTA('Catálogo_SI'!A479:AR479)/44,2))</f>
        <v/>
      </c>
    </row>
    <row r="481">
      <c r="A481" s="2">
        <f>'Catálogo_SI'!A480</f>
        <v/>
      </c>
      <c r="B481" s="2">
        <f>IF('Catálogo_SI'!A480="","",'Catálogo_SI'!B480)</f>
        <v/>
      </c>
      <c r="C481" s="9">
        <f>IF('Catálogo_SI'!A480="","",ROUND(COUNTA('Catálogo_SI'!A480:AR480)/44,2))</f>
        <v/>
      </c>
    </row>
    <row r="482">
      <c r="A482" s="2">
        <f>'Catálogo_SI'!A481</f>
        <v/>
      </c>
      <c r="B482" s="2">
        <f>IF('Catálogo_SI'!A481="","",'Catálogo_SI'!B481)</f>
        <v/>
      </c>
      <c r="C482" s="9">
        <f>IF('Catálogo_SI'!A481="","",ROUND(COUNTA('Catálogo_SI'!A481:AR481)/44,2))</f>
        <v/>
      </c>
    </row>
    <row r="483">
      <c r="A483" s="2">
        <f>'Catálogo_SI'!A482</f>
        <v/>
      </c>
      <c r="B483" s="2">
        <f>IF('Catálogo_SI'!A482="","",'Catálogo_SI'!B482)</f>
        <v/>
      </c>
      <c r="C483" s="9">
        <f>IF('Catálogo_SI'!A482="","",ROUND(COUNTA('Catálogo_SI'!A482:AR482)/44,2))</f>
        <v/>
      </c>
    </row>
    <row r="484">
      <c r="A484" s="2">
        <f>'Catálogo_SI'!A483</f>
        <v/>
      </c>
      <c r="B484" s="2">
        <f>IF('Catálogo_SI'!A483="","",'Catálogo_SI'!B483)</f>
        <v/>
      </c>
      <c r="C484" s="9">
        <f>IF('Catálogo_SI'!A483="","",ROUND(COUNTA('Catálogo_SI'!A483:AR483)/44,2))</f>
        <v/>
      </c>
    </row>
    <row r="485">
      <c r="A485" s="2">
        <f>'Catálogo_SI'!A484</f>
        <v/>
      </c>
      <c r="B485" s="2">
        <f>IF('Catálogo_SI'!A484="","",'Catálogo_SI'!B484)</f>
        <v/>
      </c>
      <c r="C485" s="9">
        <f>IF('Catálogo_SI'!A484="","",ROUND(COUNTA('Catálogo_SI'!A484:AR484)/44,2))</f>
        <v/>
      </c>
    </row>
    <row r="486">
      <c r="A486" s="2">
        <f>'Catálogo_SI'!A485</f>
        <v/>
      </c>
      <c r="B486" s="2">
        <f>IF('Catálogo_SI'!A485="","",'Catálogo_SI'!B485)</f>
        <v/>
      </c>
      <c r="C486" s="9">
        <f>IF('Catálogo_SI'!A485="","",ROUND(COUNTA('Catálogo_SI'!A485:AR485)/44,2))</f>
        <v/>
      </c>
    </row>
    <row r="487">
      <c r="A487" s="2">
        <f>'Catálogo_SI'!A486</f>
        <v/>
      </c>
      <c r="B487" s="2">
        <f>IF('Catálogo_SI'!A486="","",'Catálogo_SI'!B486)</f>
        <v/>
      </c>
      <c r="C487" s="9">
        <f>IF('Catálogo_SI'!A486="","",ROUND(COUNTA('Catálogo_SI'!A486:AR486)/44,2))</f>
        <v/>
      </c>
    </row>
    <row r="488">
      <c r="A488" s="2">
        <f>'Catálogo_SI'!A487</f>
        <v/>
      </c>
      <c r="B488" s="2">
        <f>IF('Catálogo_SI'!A487="","",'Catálogo_SI'!B487)</f>
        <v/>
      </c>
      <c r="C488" s="9">
        <f>IF('Catálogo_SI'!A487="","",ROUND(COUNTA('Catálogo_SI'!A487:AR487)/44,2))</f>
        <v/>
      </c>
    </row>
    <row r="489">
      <c r="A489" s="2">
        <f>'Catálogo_SI'!A488</f>
        <v/>
      </c>
      <c r="B489" s="2">
        <f>IF('Catálogo_SI'!A488="","",'Catálogo_SI'!B488)</f>
        <v/>
      </c>
      <c r="C489" s="9">
        <f>IF('Catálogo_SI'!A488="","",ROUND(COUNTA('Catálogo_SI'!A488:AR488)/44,2))</f>
        <v/>
      </c>
    </row>
    <row r="490">
      <c r="A490" s="2">
        <f>'Catálogo_SI'!A489</f>
        <v/>
      </c>
      <c r="B490" s="2">
        <f>IF('Catálogo_SI'!A489="","",'Catálogo_SI'!B489)</f>
        <v/>
      </c>
      <c r="C490" s="9">
        <f>IF('Catálogo_SI'!A489="","",ROUND(COUNTA('Catálogo_SI'!A489:AR489)/44,2))</f>
        <v/>
      </c>
    </row>
    <row r="491">
      <c r="A491" s="2">
        <f>'Catálogo_SI'!A490</f>
        <v/>
      </c>
      <c r="B491" s="2">
        <f>IF('Catálogo_SI'!A490="","",'Catálogo_SI'!B490)</f>
        <v/>
      </c>
      <c r="C491" s="9">
        <f>IF('Catálogo_SI'!A490="","",ROUND(COUNTA('Catálogo_SI'!A490:AR490)/44,2))</f>
        <v/>
      </c>
    </row>
    <row r="492">
      <c r="A492" s="2">
        <f>'Catálogo_SI'!A491</f>
        <v/>
      </c>
      <c r="B492" s="2">
        <f>IF('Catálogo_SI'!A491="","",'Catálogo_SI'!B491)</f>
        <v/>
      </c>
      <c r="C492" s="9">
        <f>IF('Catálogo_SI'!A491="","",ROUND(COUNTA('Catálogo_SI'!A491:AR491)/44,2))</f>
        <v/>
      </c>
    </row>
    <row r="493">
      <c r="A493" s="2">
        <f>'Catálogo_SI'!A492</f>
        <v/>
      </c>
      <c r="B493" s="2">
        <f>IF('Catálogo_SI'!A492="","",'Catálogo_SI'!B492)</f>
        <v/>
      </c>
      <c r="C493" s="9">
        <f>IF('Catálogo_SI'!A492="","",ROUND(COUNTA('Catálogo_SI'!A492:AR492)/44,2))</f>
        <v/>
      </c>
    </row>
    <row r="494">
      <c r="A494" s="2">
        <f>'Catálogo_SI'!A493</f>
        <v/>
      </c>
      <c r="B494" s="2">
        <f>IF('Catálogo_SI'!A493="","",'Catálogo_SI'!B493)</f>
        <v/>
      </c>
      <c r="C494" s="9">
        <f>IF('Catálogo_SI'!A493="","",ROUND(COUNTA('Catálogo_SI'!A493:AR493)/44,2))</f>
        <v/>
      </c>
    </row>
    <row r="495">
      <c r="A495" s="2">
        <f>'Catálogo_SI'!A494</f>
        <v/>
      </c>
      <c r="B495" s="2">
        <f>IF('Catálogo_SI'!A494="","",'Catálogo_SI'!B494)</f>
        <v/>
      </c>
      <c r="C495" s="9">
        <f>IF('Catálogo_SI'!A494="","",ROUND(COUNTA('Catálogo_SI'!A494:AR494)/44,2))</f>
        <v/>
      </c>
    </row>
    <row r="496">
      <c r="A496" s="2">
        <f>'Catálogo_SI'!A495</f>
        <v/>
      </c>
      <c r="B496" s="2">
        <f>IF('Catálogo_SI'!A495="","",'Catálogo_SI'!B495)</f>
        <v/>
      </c>
      <c r="C496" s="9">
        <f>IF('Catálogo_SI'!A495="","",ROUND(COUNTA('Catálogo_SI'!A495:AR495)/44,2))</f>
        <v/>
      </c>
    </row>
    <row r="497">
      <c r="A497" s="2">
        <f>'Catálogo_SI'!A496</f>
        <v/>
      </c>
      <c r="B497" s="2">
        <f>IF('Catálogo_SI'!A496="","",'Catálogo_SI'!B496)</f>
        <v/>
      </c>
      <c r="C497" s="9">
        <f>IF('Catálogo_SI'!A496="","",ROUND(COUNTA('Catálogo_SI'!A496:AR496)/44,2))</f>
        <v/>
      </c>
    </row>
    <row r="498">
      <c r="A498" s="2">
        <f>'Catálogo_SI'!A497</f>
        <v/>
      </c>
      <c r="B498" s="2">
        <f>IF('Catálogo_SI'!A497="","",'Catálogo_SI'!B497)</f>
        <v/>
      </c>
      <c r="C498" s="9">
        <f>IF('Catálogo_SI'!A497="","",ROUND(COUNTA('Catálogo_SI'!A497:AR497)/44,2))</f>
        <v/>
      </c>
    </row>
    <row r="499">
      <c r="A499" s="2">
        <f>'Catálogo_SI'!A498</f>
        <v/>
      </c>
      <c r="B499" s="2">
        <f>IF('Catálogo_SI'!A498="","",'Catálogo_SI'!B498)</f>
        <v/>
      </c>
      <c r="C499" s="9">
        <f>IF('Catálogo_SI'!A498="","",ROUND(COUNTA('Catálogo_SI'!A498:AR498)/44,2))</f>
        <v/>
      </c>
    </row>
    <row r="500">
      <c r="A500" s="2">
        <f>'Catálogo_SI'!A499</f>
        <v/>
      </c>
      <c r="B500" s="2">
        <f>IF('Catálogo_SI'!A499="","",'Catálogo_SI'!B499)</f>
        <v/>
      </c>
      <c r="C500" s="9">
        <f>IF('Catálogo_SI'!A499="","",ROUND(COUNTA('Catálogo_SI'!A499:AR499)/44,2))</f>
        <v/>
      </c>
    </row>
    <row r="501">
      <c r="A501" s="2">
        <f>'Catálogo_SI'!A500</f>
        <v/>
      </c>
      <c r="B501" s="2">
        <f>IF('Catálogo_SI'!A500="","",'Catálogo_SI'!B500)</f>
        <v/>
      </c>
      <c r="C501" s="9">
        <f>IF('Catálogo_SI'!A500="","",ROUND(COUNTA('Catálogo_SI'!A500:AR500)/44,2))</f>
        <v/>
      </c>
    </row>
    <row r="502">
      <c r="A502" s="2">
        <f>'Catálogo_SI'!A501</f>
        <v/>
      </c>
      <c r="B502" s="2">
        <f>IF('Catálogo_SI'!A501="","",'Catálogo_SI'!B501)</f>
        <v/>
      </c>
      <c r="C502" s="9">
        <f>IF('Catálogo_SI'!A501="","",ROUND(COUNTA('Catálogo_SI'!A501:AR501)/44,2))</f>
        <v/>
      </c>
    </row>
  </sheetData>
  <dataValidations count="2">
    <dataValidation sqref="G3:G502" showDropDown="0" showInputMessage="0" showErrorMessage="1" allowBlank="1" errorTitle="Valor no permitido" error="Use únicamente valores del vocabulario controlado (hoja Listas)." type="list">
      <formula1>=Listas!$AD$2:$AD$7</formula1>
    </dataValidation>
    <dataValidation sqref="L3:L502" showDropDown="0" showInputMessage="0" showErrorMessage="1" allowBlank="1" errorTitle="Valor no permitido" error="Use únicamente valores del vocabulario controlado (hoja Listas)." type="list">
      <formula1>=Listas!$AE$2:$AE$4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2026-08-31T22:27:06Z</dcterms:created>
  <dcterms:modified xsi:type="dcterms:W3CDTF">2026-08-31T22:27:06Z</dcterms:modified>
</cp:coreProperties>
</file>